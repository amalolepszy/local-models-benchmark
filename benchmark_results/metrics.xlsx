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4.xml" ContentType="application/vnd.openxmlformats-officedocument.spreadsheetml.queryTable+xml"/>
  <Override PartName="/xl/tables/table9.xml" ContentType="application/vnd.openxmlformats-officedocument.spreadsheetml.table+xml"/>
  <Override PartName="/xl/queryTables/queryTable5.xml" ContentType="application/vnd.openxmlformats-officedocument.spreadsheetml.query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local-models-benchmark\benchmark_results\"/>
    </mc:Choice>
  </mc:AlternateContent>
  <xr:revisionPtr revIDLastSave="0" documentId="13_ncr:1_{1E4FB487-4427-40C5-BD31-086506813BA9}" xr6:coauthVersionLast="47" xr6:coauthVersionMax="47" xr10:uidLastSave="{00000000-0000-0000-0000-000000000000}"/>
  <bookViews>
    <workbookView xWindow="-120" yWindow="-120" windowWidth="38640" windowHeight="21120" firstSheet="5" activeTab="7" xr2:uid="{00000000-000D-0000-FFFF-FFFF00000000}"/>
  </bookViews>
  <sheets>
    <sheet name="session_results_image" sheetId="2" r:id="rId1"/>
    <sheet name="Arkusz6" sheetId="10" r:id="rId2"/>
    <sheet name="Arkusz2" sheetId="3" r:id="rId3"/>
    <sheet name="session-image-tables" sheetId="1" r:id="rId4"/>
    <sheet name="session_results_text" sheetId="5" r:id="rId5"/>
    <sheet name="benchmark_results_image (2)" sheetId="11" r:id="rId6"/>
    <sheet name="vram_benchmark_results_image" sheetId="16" r:id="rId7"/>
    <sheet name="benchmark_results_text (2)" sheetId="12" r:id="rId8"/>
    <sheet name="vram_benchmark_results_text (3)" sheetId="15" r:id="rId9"/>
    <sheet name="Arkusz5" sheetId="7" r:id="rId10"/>
    <sheet name="Arkusz1" sheetId="13" r:id="rId11"/>
  </sheets>
  <definedNames>
    <definedName name="ExternalData_1" localSheetId="5" hidden="1">'benchmark_results_image (2)'!$A$1:$AH$15</definedName>
    <definedName name="ExternalData_1" localSheetId="7" hidden="1">'benchmark_results_text (2)'!$A$1:$AI$13</definedName>
    <definedName name="ExternalData_1" localSheetId="0" hidden="1">session_results_image!$A$1:$V$141</definedName>
    <definedName name="ExternalData_1" localSheetId="4" hidden="1">session_results_text!$A$1:$H$123</definedName>
    <definedName name="ExternalData_1" localSheetId="6" hidden="1">vram_benchmark_results_image!$A$1:$AO$15</definedName>
    <definedName name="ExternalData_1" localSheetId="8" hidden="1">'vram_benchmark_results_text (3)'!$A$1:$AO$13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6" i="12" l="1"/>
  <c r="I77" i="12"/>
  <c r="I79" i="12"/>
  <c r="I75" i="12"/>
  <c r="I78" i="12"/>
  <c r="I71" i="12"/>
  <c r="I74" i="12"/>
  <c r="I70" i="12"/>
  <c r="I68" i="12"/>
  <c r="I69" i="12"/>
  <c r="I73" i="12"/>
  <c r="I72" i="12"/>
  <c r="J29" i="16"/>
  <c r="J30" i="16"/>
  <c r="J31" i="16"/>
  <c r="J32" i="16"/>
  <c r="J33" i="16"/>
  <c r="J34" i="16"/>
  <c r="J35" i="16"/>
  <c r="J36" i="16"/>
  <c r="J37" i="16"/>
  <c r="J38" i="16"/>
  <c r="J39" i="16"/>
  <c r="J40" i="16"/>
  <c r="J41" i="16"/>
  <c r="J28" i="16"/>
  <c r="I71" i="11"/>
  <c r="I72" i="11"/>
  <c r="I77" i="11"/>
  <c r="I73" i="11"/>
  <c r="I78" i="11"/>
  <c r="I80" i="11"/>
  <c r="I81" i="11"/>
  <c r="I70" i="11"/>
  <c r="I74" i="11"/>
  <c r="I79" i="11"/>
  <c r="I82" i="11"/>
  <c r="I76" i="11"/>
  <c r="I75" i="11"/>
  <c r="I83" i="11"/>
  <c r="I52" i="12"/>
  <c r="I58" i="12"/>
  <c r="I54" i="12"/>
  <c r="I48" i="12"/>
  <c r="I49" i="12"/>
  <c r="I47" i="12"/>
  <c r="I57" i="12"/>
  <c r="I53" i="12"/>
  <c r="I56" i="12"/>
  <c r="I50" i="12"/>
  <c r="I51" i="12"/>
  <c r="I55" i="12"/>
  <c r="I49" i="11"/>
  <c r="I56" i="11"/>
  <c r="I57" i="11"/>
  <c r="I53" i="11"/>
  <c r="I50" i="11"/>
  <c r="I62" i="11"/>
  <c r="I55" i="11"/>
  <c r="I60" i="11"/>
  <c r="I54" i="11"/>
  <c r="I51" i="11"/>
  <c r="I61" i="11"/>
  <c r="I59" i="11"/>
  <c r="I58" i="11"/>
  <c r="I52" i="11"/>
  <c r="BQ14" i="5"/>
  <c r="BQ4" i="5"/>
  <c r="BI14" i="5"/>
  <c r="BI4" i="5"/>
  <c r="BB14" i="5"/>
  <c r="BB25" i="5"/>
  <c r="BB4" i="5"/>
  <c r="AU4" i="5"/>
  <c r="AN14" i="5"/>
  <c r="AN24" i="5"/>
  <c r="AN34" i="5"/>
  <c r="AN4" i="5"/>
  <c r="AG52" i="1"/>
  <c r="AV40" i="1"/>
  <c r="AV30" i="1"/>
  <c r="AN40" i="1"/>
  <c r="AN30" i="1"/>
  <c r="S59" i="1"/>
  <c r="S69" i="1"/>
  <c r="S79" i="1"/>
  <c r="S49" i="1"/>
  <c r="AG62" i="1"/>
  <c r="AG72" i="1"/>
  <c r="AG82" i="1"/>
  <c r="Z39" i="1"/>
  <c r="Z2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82EC1C-1244-43A0-9E57-FC8A65041A86}" keepAlive="1" name="Zapytanie — benchmark_results_image" description="Połączenie z zapytaniem „benchmark_results_image” w skoroszycie." type="5" refreshedVersion="8" background="1" saveData="1">
    <dbPr connection="Provider=Microsoft.Mashup.OleDb.1;Data Source=$Workbook$;Location=benchmark_results_image;Extended Properties=&quot;&quot;" command="SELECT * FROM [benchmark_results_image]"/>
  </connection>
  <connection id="2" xr16:uid="{731FD2A8-D4A0-4921-8EBE-E3A7A7B4FCCA}" keepAlive="1" name="Zapytanie — benchmark_results_image (2)" description="Połączenie z zapytaniem „benchmark_results_image (2)” w skoroszycie." type="5" refreshedVersion="8" background="1" saveData="1">
    <dbPr connection="Provider=Microsoft.Mashup.OleDb.1;Data Source=$Workbook$;Location=&quot;benchmark_results_image (2)&quot;;Extended Properties=&quot;&quot;" command="SELECT * FROM [benchmark_results_image (2)]"/>
  </connection>
  <connection id="3" xr16:uid="{0220177A-986B-4A08-A9A9-96D6F8B5C0B2}" keepAlive="1" name="Zapytanie — benchmark_results_image (3)" description="Połączenie z zapytaniem „benchmark_results_image (3)” w skoroszycie." type="5" refreshedVersion="8" background="1" saveData="1">
    <dbPr connection="Provider=Microsoft.Mashup.OleDb.1;Data Source=$Workbook$;Location=&quot;benchmark_results_image (3)&quot;;Extended Properties=&quot;&quot;" command="SELECT * FROM [benchmark_results_image (3)]"/>
  </connection>
  <connection id="4" xr16:uid="{90F47C3F-AB6E-4A14-AFB3-44E3C3EFD904}" keepAlive="1" name="Zapytanie — benchmark_results_text" description="Połączenie z zapytaniem „benchmark_results_text” w skoroszycie." type="5" refreshedVersion="8" background="1" saveData="1">
    <dbPr connection="Provider=Microsoft.Mashup.OleDb.1;Data Source=$Workbook$;Location=benchmark_results_text;Extended Properties=&quot;&quot;" command="SELECT * FROM [benchmark_results_text]"/>
  </connection>
  <connection id="5" xr16:uid="{45C605A6-8DBA-4114-B8DA-2084A47D74D2}" keepAlive="1" name="Zapytanie — benchmark_results_text (2)" description="Połączenie z zapytaniem „benchmark_results_text (2)” w skoroszycie." type="5" refreshedVersion="8" background="1" saveData="1">
    <dbPr connection="Provider=Microsoft.Mashup.OleDb.1;Data Source=$Workbook$;Location=&quot;benchmark_results_text (2)&quot;;Extended Properties=&quot;&quot;" command="SELECT * FROM [benchmark_results_text (2)]"/>
  </connection>
  <connection id="6" xr16:uid="{074CDF0E-D943-4310-91FC-A78FD1E2249B}" keepAlive="1" name="Zapytanie — benchmark_results_text (3)" description="Połączenie z zapytaniem „benchmark_results_text (3)” w skoroszycie." type="5" refreshedVersion="8" background="1" saveData="1">
    <dbPr connection="Provider=Microsoft.Mashup.OleDb.1;Data Source=$Workbook$;Location=&quot;benchmark_results_text (3)&quot;;Extended Properties=&quot;&quot;" command="SELECT * FROM [benchmark_results_text (3)]"/>
  </connection>
  <connection id="7" xr16:uid="{4D27FE5F-A755-4C95-8BBE-FDBA55190B9B}" keepAlive="1" name="Zapytanie — session_results_image" description="Połączenie z zapytaniem „session_results_image” w skoroszycie." type="5" refreshedVersion="8" background="1" saveData="1">
    <dbPr connection="Provider=Microsoft.Mashup.OleDb.1;Data Source=$Workbook$;Location=session_results_image;Extended Properties=&quot;&quot;" command="SELECT * FROM [session_results_image]"/>
  </connection>
  <connection id="8" xr16:uid="{E2C219E3-E991-43D9-AE04-F788F459D7C6}" keepAlive="1" name="Zapytanie — session_results_text" description="Połączenie z zapytaniem „session_results_text” w skoroszycie." type="5" refreshedVersion="8" background="1" saveData="1">
    <dbPr connection="Provider=Microsoft.Mashup.OleDb.1;Data Source=$Workbook$;Location=session_results_text;Extended Properties=&quot;&quot;" command="SELECT * FROM [session_results_text]"/>
  </connection>
  <connection id="9" xr16:uid="{F9DE90A0-31AC-4334-BAD8-48B8089492A2}" keepAlive="1" name="Zapytanie — vram_benchmark_results_image" description="Połączenie z zapytaniem „vram_benchmark_results_image” w skoroszycie." type="5" refreshedVersion="8" background="1" saveData="1">
    <dbPr connection="Provider=Microsoft.Mashup.OleDb.1;Data Source=$Workbook$;Location=vram_benchmark_results_image;Extended Properties=&quot;&quot;" command="SELECT * FROM [vram_benchmark_results_image]"/>
  </connection>
</connections>
</file>

<file path=xl/sharedStrings.xml><?xml version="1.0" encoding="utf-8"?>
<sst xmlns="http://schemas.openxmlformats.org/spreadsheetml/2006/main" count="5928" uniqueCount="755">
  <si>
    <t>Task</t>
  </si>
  <si>
    <t>Framework</t>
  </si>
  <si>
    <t>Backend</t>
  </si>
  <si>
    <t>Session#</t>
  </si>
  <si>
    <t>FrameworkInit(ms)</t>
  </si>
  <si>
    <t>ModelLoad(ms)</t>
  </si>
  <si>
    <t>Inference(ms)</t>
  </si>
  <si>
    <t>Total(ms)</t>
  </si>
  <si>
    <t>Init_AvgCPU(%)</t>
  </si>
  <si>
    <t>Init_PeakCPU(%)</t>
  </si>
  <si>
    <t>Init_AvgGPU(%)</t>
  </si>
  <si>
    <t>Init_PeakGPU(%)</t>
  </si>
  <si>
    <t>Inf_AvgCPU(%)</t>
  </si>
  <si>
    <t>Inf_PeakCPU(%)</t>
  </si>
  <si>
    <t>Inf_AvgGPU(%)</t>
  </si>
  <si>
    <t>Inf_PeakGPU(%)</t>
  </si>
  <si>
    <t>Inf_MemRSS_Start(MB)</t>
  </si>
  <si>
    <t>Inf_MemRSS_End(MB)</t>
  </si>
  <si>
    <t>Inf_MemDelta(MB)</t>
  </si>
  <si>
    <t>Inf_GPU_Mem_Start(MB)</t>
  </si>
  <si>
    <t>Inf_GPU_Mem_End(MB)</t>
  </si>
  <si>
    <t>Inf_GPU_Mem_Delta(MB)</t>
  </si>
  <si>
    <t>image-classification</t>
  </si>
  <si>
    <t>tfjs</t>
  </si>
  <si>
    <t>wasm-simd-threads</t>
  </si>
  <si>
    <t>84.14</t>
  </si>
  <si>
    <t>90.88</t>
  </si>
  <si>
    <t>104.4</t>
  </si>
  <si>
    <t>143.5</t>
  </si>
  <si>
    <t>329.1</t>
  </si>
  <si>
    <t>3.6</t>
  </si>
  <si>
    <t>4.0</t>
  </si>
  <si>
    <t>488.77</t>
  </si>
  <si>
    <t>644.98</t>
  </si>
  <si>
    <t>156.21</t>
  </si>
  <si>
    <t>1134.0</t>
  </si>
  <si>
    <t>1136.0</t>
  </si>
  <si>
    <t>2.0</t>
  </si>
  <si>
    <t>10.67</t>
  </si>
  <si>
    <t>7.43</t>
  </si>
  <si>
    <t>7.55</t>
  </si>
  <si>
    <t>5.66</t>
  </si>
  <si>
    <t>6.48</t>
  </si>
  <si>
    <t>6.35</t>
  </si>
  <si>
    <t>6.61</t>
  </si>
  <si>
    <t>7.25</t>
  </si>
  <si>
    <t>5.06</t>
  </si>
  <si>
    <t>106.4</t>
  </si>
  <si>
    <t>689.29</t>
  </si>
  <si>
    <t>0.0</t>
  </si>
  <si>
    <t>webgl</t>
  </si>
  <si>
    <t>29.77</t>
  </si>
  <si>
    <t>77.55</t>
  </si>
  <si>
    <t>2123.15</t>
  </si>
  <si>
    <t>122.5</t>
  </si>
  <si>
    <t>254.7</t>
  </si>
  <si>
    <t>2.3</t>
  </si>
  <si>
    <t>22.0</t>
  </si>
  <si>
    <t>497.88</t>
  </si>
  <si>
    <t>687.32</t>
  </si>
  <si>
    <t>189.44</t>
  </si>
  <si>
    <t>1226.0</t>
  </si>
  <si>
    <t>90.0</t>
  </si>
  <si>
    <t>17.42</t>
  </si>
  <si>
    <t>15.64</t>
  </si>
  <si>
    <t>14.63</t>
  </si>
  <si>
    <t>23.43</t>
  </si>
  <si>
    <t>10.35</t>
  </si>
  <si>
    <t>10.98</t>
  </si>
  <si>
    <t>11.92</t>
  </si>
  <si>
    <t>11.06</t>
  </si>
  <si>
    <t>11.35</t>
  </si>
  <si>
    <t>687.38</t>
  </si>
  <si>
    <t>687.39</t>
  </si>
  <si>
    <t>0.01</t>
  </si>
  <si>
    <t>webgpu</t>
  </si>
  <si>
    <t>107.63</t>
  </si>
  <si>
    <t>75.84</t>
  </si>
  <si>
    <t>400.26</t>
  </si>
  <si>
    <t>132.8</t>
  </si>
  <si>
    <t>223.9</t>
  </si>
  <si>
    <t>4.1</t>
  </si>
  <si>
    <t>5.0</t>
  </si>
  <si>
    <t>493.25</t>
  </si>
  <si>
    <t>699.46</t>
  </si>
  <si>
    <t>206.21</t>
  </si>
  <si>
    <t>1135.0</t>
  </si>
  <si>
    <t>1189.0</t>
  </si>
  <si>
    <t>54.0</t>
  </si>
  <si>
    <t>13.66</t>
  </si>
  <si>
    <t>97.7</t>
  </si>
  <si>
    <t>182.5</t>
  </si>
  <si>
    <t>2.8</t>
  </si>
  <si>
    <t>740.01</t>
  </si>
  <si>
    <t>749.25</t>
  </si>
  <si>
    <t>9.24</t>
  </si>
  <si>
    <t>1230.0</t>
  </si>
  <si>
    <t>1229.0</t>
  </si>
  <si>
    <t>-1.0</t>
  </si>
  <si>
    <t>12.55</t>
  </si>
  <si>
    <t>13.74</t>
  </si>
  <si>
    <t>12.24</t>
  </si>
  <si>
    <t>13.11</t>
  </si>
  <si>
    <t>11.05</t>
  </si>
  <si>
    <t>11.62</t>
  </si>
  <si>
    <t>11.11</t>
  </si>
  <si>
    <t>10.13</t>
  </si>
  <si>
    <t>749.29</t>
  </si>
  <si>
    <t>onnx</t>
  </si>
  <si>
    <t>403.93</t>
  </si>
  <si>
    <t>7975.67</t>
  </si>
  <si>
    <t>103.11</t>
  </si>
  <si>
    <t>94.6</t>
  </si>
  <si>
    <t>1125.4</t>
  </si>
  <si>
    <t>0.7</t>
  </si>
  <si>
    <t>493.33</t>
  </si>
  <si>
    <t>1078.62</t>
  </si>
  <si>
    <t>585.29</t>
  </si>
  <si>
    <t>1137.0</t>
  </si>
  <si>
    <t>1.0</t>
  </si>
  <si>
    <t>18.67</t>
  </si>
  <si>
    <t>12.13</t>
  </si>
  <si>
    <t>11.74</t>
  </si>
  <si>
    <t>12.47</t>
  </si>
  <si>
    <t>12.4</t>
  </si>
  <si>
    <t>13.52</t>
  </si>
  <si>
    <t>12.72</t>
  </si>
  <si>
    <t>11.36</t>
  </si>
  <si>
    <t>13.0</t>
  </si>
  <si>
    <t>1364.7</t>
  </si>
  <si>
    <t>1158.83</t>
  </si>
  <si>
    <t>1138.0</t>
  </si>
  <si>
    <t>91.5</t>
  </si>
  <si>
    <t>236.33</t>
  </si>
  <si>
    <t>1088.1</t>
  </si>
  <si>
    <t>162.5</t>
  </si>
  <si>
    <t>1024.6</t>
  </si>
  <si>
    <t>1.7</t>
  </si>
  <si>
    <t>494.5</t>
  </si>
  <si>
    <t>669.61</t>
  </si>
  <si>
    <t>175.11</t>
  </si>
  <si>
    <t>94.0</t>
  </si>
  <si>
    <t>4.98</t>
  </si>
  <si>
    <t>4.64</t>
  </si>
  <si>
    <t>4.4</t>
  </si>
  <si>
    <t>3.94</t>
  </si>
  <si>
    <t>4.05</t>
  </si>
  <si>
    <t>7.95</t>
  </si>
  <si>
    <t>3.92</t>
  </si>
  <si>
    <t>3.61</t>
  </si>
  <si>
    <t>115.4</t>
  </si>
  <si>
    <t>618.98</t>
  </si>
  <si>
    <t>1228.0</t>
  </si>
  <si>
    <t>359.17</t>
  </si>
  <si>
    <t>6498.16</t>
  </si>
  <si>
    <t>387.37</t>
  </si>
  <si>
    <t>156.6</t>
  </si>
  <si>
    <t>1228.3</t>
  </si>
  <si>
    <t>0.5</t>
  </si>
  <si>
    <t>495.98</t>
  </si>
  <si>
    <t>1306.43</t>
  </si>
  <si>
    <t>810.45</t>
  </si>
  <si>
    <t>1215.0</t>
  </si>
  <si>
    <t>80.0</t>
  </si>
  <si>
    <t>12.77</t>
  </si>
  <si>
    <t>1119.2</t>
  </si>
  <si>
    <t>1147.3</t>
  </si>
  <si>
    <t>1350.47</t>
  </si>
  <si>
    <t>1370.19</t>
  </si>
  <si>
    <t>19.72</t>
  </si>
  <si>
    <t>1213.0</t>
  </si>
  <si>
    <t>15.16</t>
  </si>
  <si>
    <t>14.4</t>
  </si>
  <si>
    <t>15.13</t>
  </si>
  <si>
    <t>14.9</t>
  </si>
  <si>
    <t>11.1</t>
  </si>
  <si>
    <t>14.66</t>
  </si>
  <si>
    <t>16.59</t>
  </si>
  <si>
    <t>webnn</t>
  </si>
  <si>
    <t>198.49</t>
  </si>
  <si>
    <t>3105.3</t>
  </si>
  <si>
    <t>66.12</t>
  </si>
  <si>
    <t>176.2</t>
  </si>
  <si>
    <t>594.2</t>
  </si>
  <si>
    <t>491.68</t>
  </si>
  <si>
    <t>971.37</t>
  </si>
  <si>
    <t>479.69</t>
  </si>
  <si>
    <t>7.75</t>
  </si>
  <si>
    <t>6.07</t>
  </si>
  <si>
    <t>7.22</t>
  </si>
  <si>
    <t>9.37</t>
  </si>
  <si>
    <t>7.45</t>
  </si>
  <si>
    <t>3.4</t>
  </si>
  <si>
    <t>3.27</t>
  </si>
  <si>
    <t>3.26</t>
  </si>
  <si>
    <t>517.4</t>
  </si>
  <si>
    <t>960.11</t>
  </si>
  <si>
    <t>1133.0</t>
  </si>
  <si>
    <t>litert</t>
  </si>
  <si>
    <t>173.93</t>
  </si>
  <si>
    <t>199.62</t>
  </si>
  <si>
    <t>39.64</t>
  </si>
  <si>
    <t>120.2</t>
  </si>
  <si>
    <t>196.6</t>
  </si>
  <si>
    <t>5.4</t>
  </si>
  <si>
    <t>6.0</t>
  </si>
  <si>
    <t>492.38</t>
  </si>
  <si>
    <t>732.72</t>
  </si>
  <si>
    <t>240.34</t>
  </si>
  <si>
    <t>1156.0</t>
  </si>
  <si>
    <t>21.0</t>
  </si>
  <si>
    <t>14.37</t>
  </si>
  <si>
    <t>14.09</t>
  </si>
  <si>
    <t>14.0</t>
  </si>
  <si>
    <t>14.31</t>
  </si>
  <si>
    <t>14.53</t>
  </si>
  <si>
    <t>15.5</t>
  </si>
  <si>
    <t>14.11</t>
  </si>
  <si>
    <t>14.39</t>
  </si>
  <si>
    <t>174.4</t>
  </si>
  <si>
    <t>705.92</t>
  </si>
  <si>
    <t>180.03</t>
  </si>
  <si>
    <t>484.98</t>
  </si>
  <si>
    <t>642.39</t>
  </si>
  <si>
    <t>412.9</t>
  </si>
  <si>
    <t>956.6</t>
  </si>
  <si>
    <t>492.95</t>
  </si>
  <si>
    <t>1148.65</t>
  </si>
  <si>
    <t>655.7</t>
  </si>
  <si>
    <t>1190.0</t>
  </si>
  <si>
    <t>7.05</t>
  </si>
  <si>
    <t>6.59</t>
  </si>
  <si>
    <t>4.51</t>
  </si>
  <si>
    <t>6.41</t>
  </si>
  <si>
    <t>4.79</t>
  </si>
  <si>
    <t>3.48</t>
  </si>
  <si>
    <t>5.55</t>
  </si>
  <si>
    <t>3.95</t>
  </si>
  <si>
    <t>3.34</t>
  </si>
  <si>
    <t>403.9</t>
  </si>
  <si>
    <t>446.2</t>
  </si>
  <si>
    <t>1196.43</t>
  </si>
  <si>
    <t>1190.77</t>
  </si>
  <si>
    <t>-5.66</t>
  </si>
  <si>
    <t>transformersjs</t>
  </si>
  <si>
    <t>8.52</t>
  </si>
  <si>
    <t>40.8</t>
  </si>
  <si>
    <t>571.78</t>
  </si>
  <si>
    <t>198.0</t>
  </si>
  <si>
    <t>1581.5</t>
  </si>
  <si>
    <t>1.1</t>
  </si>
  <si>
    <t>16.0</t>
  </si>
  <si>
    <t>491.3</t>
  </si>
  <si>
    <t>1295.96</t>
  </si>
  <si>
    <t>804.66</t>
  </si>
  <si>
    <t>1150.0</t>
  </si>
  <si>
    <t>58.71</t>
  </si>
  <si>
    <t>58.23</t>
  </si>
  <si>
    <t>58.7</t>
  </si>
  <si>
    <t>1414.4</t>
  </si>
  <si>
    <t>1608.7</t>
  </si>
  <si>
    <t>1368.89</t>
  </si>
  <si>
    <t>1481.99</t>
  </si>
  <si>
    <t>113.1</t>
  </si>
  <si>
    <t>1149.0</t>
  </si>
  <si>
    <t>1128.0</t>
  </si>
  <si>
    <t>-21.0</t>
  </si>
  <si>
    <t>59.58</t>
  </si>
  <si>
    <t>243.13</t>
  </si>
  <si>
    <t>63.5</t>
  </si>
  <si>
    <t>70.39</t>
  </si>
  <si>
    <t>57.83</t>
  </si>
  <si>
    <t>62.69</t>
  </si>
  <si>
    <t>1504.9</t>
  </si>
  <si>
    <t>1520.7</t>
  </si>
  <si>
    <t>1460.25</t>
  </si>
  <si>
    <t>1464.61</t>
  </si>
  <si>
    <t>4.36</t>
  </si>
  <si>
    <t>1140.0</t>
  </si>
  <si>
    <t>7.79</t>
  </si>
  <si>
    <t>369.07</t>
  </si>
  <si>
    <t>615.2</t>
  </si>
  <si>
    <t>1257.3</t>
  </si>
  <si>
    <t>1388.3</t>
  </si>
  <si>
    <t>1490.49</t>
  </si>
  <si>
    <t>1445.46</t>
  </si>
  <si>
    <t>-45.03</t>
  </si>
  <si>
    <t>1221.0</t>
  </si>
  <si>
    <t>1197.0</t>
  </si>
  <si>
    <t>-24.0</t>
  </si>
  <si>
    <t>51.31</t>
  </si>
  <si>
    <t>239.0</t>
  </si>
  <si>
    <t>1461.7</t>
  </si>
  <si>
    <t>0.6</t>
  </si>
  <si>
    <t>490.6</t>
  </si>
  <si>
    <t>1456.55</t>
  </si>
  <si>
    <t>965.95</t>
  </si>
  <si>
    <t>1212.0</t>
  </si>
  <si>
    <t>77.0</t>
  </si>
  <si>
    <t>46.46</t>
  </si>
  <si>
    <t>46.51</t>
  </si>
  <si>
    <t>54.38</t>
  </si>
  <si>
    <t>52.49</t>
  </si>
  <si>
    <t>49.8</t>
  </si>
  <si>
    <t>47.88</t>
  </si>
  <si>
    <t>61.79</t>
  </si>
  <si>
    <t>68.09</t>
  </si>
  <si>
    <t>1255.9</t>
  </si>
  <si>
    <t>1458.9</t>
  </si>
  <si>
    <t>7.58</t>
  </si>
  <si>
    <t>200.19</t>
  </si>
  <si>
    <t>534.82</t>
  </si>
  <si>
    <t>195.2</t>
  </si>
  <si>
    <t>1576.8</t>
  </si>
  <si>
    <t>495.29</t>
  </si>
  <si>
    <t>1342.66</t>
  </si>
  <si>
    <t>847.37</t>
  </si>
  <si>
    <t>61.39</t>
  </si>
  <si>
    <t>55.2</t>
  </si>
  <si>
    <t>59.35</t>
  </si>
  <si>
    <t>1478.8</t>
  </si>
  <si>
    <t>1568.4</t>
  </si>
  <si>
    <t>1399.5</t>
  </si>
  <si>
    <t>1518.15</t>
  </si>
  <si>
    <t>118.65</t>
  </si>
  <si>
    <t>1151.0</t>
  </si>
  <si>
    <t>1126.0</t>
  </si>
  <si>
    <t>-25.0</t>
  </si>
  <si>
    <t>60.91</t>
  </si>
  <si>
    <t>156.01</t>
  </si>
  <si>
    <t>62.73</t>
  </si>
  <si>
    <t>87.92</t>
  </si>
  <si>
    <t>86.03</t>
  </si>
  <si>
    <t>60.44</t>
  </si>
  <si>
    <t>1379.3</t>
  </si>
  <si>
    <t>1507.6</t>
  </si>
  <si>
    <t>1443.56</t>
  </si>
  <si>
    <t>1436.8</t>
  </si>
  <si>
    <t>-6.76</t>
  </si>
  <si>
    <t>1141.0</t>
  </si>
  <si>
    <t>tflite-native</t>
  </si>
  <si>
    <t>cpu</t>
  </si>
  <si>
    <t>0.28</t>
  </si>
  <si>
    <t>11.88</t>
  </si>
  <si>
    <t>4.3</t>
  </si>
  <si>
    <t>152.8</t>
  </si>
  <si>
    <t>434.9</t>
  </si>
  <si>
    <t>490.74</t>
  </si>
  <si>
    <t>535.75</t>
  </si>
  <si>
    <t>45.01</t>
  </si>
  <si>
    <t>3.06</t>
  </si>
  <si>
    <t>2.91</t>
  </si>
  <si>
    <t>8.59</t>
  </si>
  <si>
    <t>3.39</t>
  </si>
  <si>
    <t>3.2</t>
  </si>
  <si>
    <t>5.27</t>
  </si>
  <si>
    <t>3.97</t>
  </si>
  <si>
    <t>3.51</t>
  </si>
  <si>
    <t>3.59</t>
  </si>
  <si>
    <t>66.8</t>
  </si>
  <si>
    <t>536.5</t>
  </si>
  <si>
    <t>gpu</t>
  </si>
  <si>
    <t>0.32</t>
  </si>
  <si>
    <t>176.94</t>
  </si>
  <si>
    <t>8.27</t>
  </si>
  <si>
    <t>172.3</t>
  </si>
  <si>
    <t>441.1</t>
  </si>
  <si>
    <t>5.8</t>
  </si>
  <si>
    <t>7.0</t>
  </si>
  <si>
    <t>497.89</t>
  </si>
  <si>
    <t>653.75</t>
  </si>
  <si>
    <t>155.86</t>
  </si>
  <si>
    <t>1319.0</t>
  </si>
  <si>
    <t>186.0</t>
  </si>
  <si>
    <t>1.71</t>
  </si>
  <si>
    <t>1.82</t>
  </si>
  <si>
    <t>6.29</t>
  </si>
  <si>
    <t>1.81</t>
  </si>
  <si>
    <t>1.61</t>
  </si>
  <si>
    <t>1.59</t>
  </si>
  <si>
    <t>1.54</t>
  </si>
  <si>
    <t>5.68</t>
  </si>
  <si>
    <t>46.2</t>
  </si>
  <si>
    <t>653.89</t>
  </si>
  <si>
    <t>TensorFlow.js</t>
  </si>
  <si>
    <t>ONNX</t>
  </si>
  <si>
    <t>LiteRT.js</t>
  </si>
  <si>
    <t>Transformers.js</t>
  </si>
  <si>
    <t>tfliteNative</t>
  </si>
  <si>
    <t>WASM</t>
  </si>
  <si>
    <t>WebGL</t>
  </si>
  <si>
    <t>WebGPU</t>
  </si>
  <si>
    <t>WebNN</t>
  </si>
  <si>
    <t>CPU</t>
  </si>
  <si>
    <t>GPU</t>
  </si>
  <si>
    <t>Inicjalizacja[ms]</t>
  </si>
  <si>
    <t>Ładowanie modelu [ms]</t>
  </si>
  <si>
    <t>Inferencja [ms]</t>
  </si>
  <si>
    <t>per-backend</t>
  </si>
  <si>
    <t>Iteracja</t>
  </si>
  <si>
    <t>Error</t>
  </si>
  <si>
    <t>text-classification</t>
  </si>
  <si>
    <t/>
  </si>
  <si>
    <t>0</t>
  </si>
  <si>
    <t>tflitenative</t>
  </si>
  <si>
    <t>-</t>
  </si>
  <si>
    <t>TensorfFlow,js</t>
  </si>
  <si>
    <t>TensorFlow,js</t>
  </si>
  <si>
    <t>Transformers,js</t>
  </si>
  <si>
    <t>LiteRT,js</t>
  </si>
  <si>
    <t>cannot resolve operator 'Expand' with opsets: ai,onnx v11</t>
  </si>
  <si>
    <t>ERROR: [third_party/odml/litert/litert/js/packages/core/src/cpp/litert_web,cc:110]
└ ERROR: [third_party/odml/litert/litert/cc/internal/litert_compiled_model_next,cc:41]</t>
  </si>
  <si>
    <t>Nachylenie</t>
  </si>
  <si>
    <t>NACHYLENIA</t>
  </si>
  <si>
    <t>AvgInference(ms)</t>
  </si>
  <si>
    <t>MinInference(ms)</t>
  </si>
  <si>
    <t>MaxInference(ms)</t>
  </si>
  <si>
    <t>P95Inference(ms)</t>
  </si>
  <si>
    <t>Load_AvgCPU(%)</t>
  </si>
  <si>
    <t>Load_PeakCPU(%)</t>
  </si>
  <si>
    <t>Load_MemRSS_Start(MB)</t>
  </si>
  <si>
    <t>Load_MemRSS_End(MB)</t>
  </si>
  <si>
    <t>Load_MemDelta(MB)</t>
  </si>
  <si>
    <t>Top1Prediction</t>
  </si>
  <si>
    <t>Top1Score(%)</t>
  </si>
  <si>
    <t>Border collie</t>
  </si>
  <si>
    <t>POSITIVE</t>
  </si>
  <si>
    <t>StdevInference(ms)</t>
  </si>
  <si>
    <t>Init_MemRSS_Start(MB)</t>
  </si>
  <si>
    <t>Init_MemRSS_End(MB)</t>
  </si>
  <si>
    <t>Init_MemDelta(MB)</t>
  </si>
  <si>
    <t>Init_GPU_Mem_Start(MB)</t>
  </si>
  <si>
    <t>Init_GPU_Mem_End(MB)</t>
  </si>
  <si>
    <t>Init_GPU_Mem_Delta(MB)</t>
  </si>
  <si>
    <t>Load_GPU_Mem_Start(MB)</t>
  </si>
  <si>
    <t>Load_GPU_Mem_End(MB)</t>
  </si>
  <si>
    <t>Load_GPU_Mem_Delta(MB)</t>
  </si>
  <si>
    <t>3.0</t>
  </si>
  <si>
    <t>591.0</t>
  </si>
  <si>
    <t>590.0</t>
  </si>
  <si>
    <t>2.04</t>
  </si>
  <si>
    <t>608.0</t>
  </si>
  <si>
    <t>589.0</t>
  </si>
  <si>
    <t>8.0</t>
  </si>
  <si>
    <t>1.6</t>
  </si>
  <si>
    <t>0.9</t>
  </si>
  <si>
    <t>0.2</t>
  </si>
  <si>
    <t>10.0</t>
  </si>
  <si>
    <t>34.0</t>
  </si>
  <si>
    <t>159.0</t>
  </si>
  <si>
    <t>79.03</t>
  </si>
  <si>
    <t>1107.81</t>
  </si>
  <si>
    <t>193.85</t>
  </si>
  <si>
    <t>185.44</t>
  </si>
  <si>
    <t>207.83</t>
  </si>
  <si>
    <t>203.42</t>
  </si>
  <si>
    <t>5.61</t>
  </si>
  <si>
    <t>145.0</t>
  </si>
  <si>
    <t>293.1</t>
  </si>
  <si>
    <t>2.7</t>
  </si>
  <si>
    <t>476.77</t>
  </si>
  <si>
    <t>1013.39</t>
  </si>
  <si>
    <t>536.62</t>
  </si>
  <si>
    <t>588.0</t>
  </si>
  <si>
    <t>154.9</t>
  </si>
  <si>
    <t>506.3</t>
  </si>
  <si>
    <t>1052.76</t>
  </si>
  <si>
    <t>1455.58</t>
  </si>
  <si>
    <t>402.82</t>
  </si>
  <si>
    <t>571.0</t>
  </si>
  <si>
    <t>-17.0</t>
  </si>
  <si>
    <t>583.0</t>
  </si>
  <si>
    <t>797.5</t>
  </si>
  <si>
    <t>1484.29</t>
  </si>
  <si>
    <t>1485.89</t>
  </si>
  <si>
    <t>99.99</t>
  </si>
  <si>
    <t>26.09</t>
  </si>
  <si>
    <t>1057.67</t>
  </si>
  <si>
    <t>31.74</t>
  </si>
  <si>
    <t>25.55</t>
  </si>
  <si>
    <t>45.95</t>
  </si>
  <si>
    <t>42.55</t>
  </si>
  <si>
    <t>5.97</t>
  </si>
  <si>
    <t>103.7</t>
  </si>
  <si>
    <t>178.9</t>
  </si>
  <si>
    <t>2.5</t>
  </si>
  <si>
    <t>477.8</t>
  </si>
  <si>
    <t>998.21</t>
  </si>
  <si>
    <t>520.41</t>
  </si>
  <si>
    <t>587.0</t>
  </si>
  <si>
    <t>120.0</t>
  </si>
  <si>
    <t>210.1</t>
  </si>
  <si>
    <t>1024.73</t>
  </si>
  <si>
    <t>1164.5</t>
  </si>
  <si>
    <t>139.77</t>
  </si>
  <si>
    <t>97.0</t>
  </si>
  <si>
    <t>171.5</t>
  </si>
  <si>
    <t>43.7</t>
  </si>
  <si>
    <t>64.0</t>
  </si>
  <si>
    <t>1197.11</t>
  </si>
  <si>
    <t>1214.48</t>
  </si>
  <si>
    <t>17.37</t>
  </si>
  <si>
    <t>992.0</t>
  </si>
  <si>
    <t>122.19</t>
  </si>
  <si>
    <t>1045.37</t>
  </si>
  <si>
    <t>21.8</t>
  </si>
  <si>
    <t>17.83</t>
  </si>
  <si>
    <t>35.71</t>
  </si>
  <si>
    <t>24.17</t>
  </si>
  <si>
    <t>3.09</t>
  </si>
  <si>
    <t>218.5</t>
  </si>
  <si>
    <t>480.12</t>
  </si>
  <si>
    <t>1024.48</t>
  </si>
  <si>
    <t>544.36</t>
  </si>
  <si>
    <t>19.0</t>
  </si>
  <si>
    <t>132.4</t>
  </si>
  <si>
    <t>196.3</t>
  </si>
  <si>
    <t>1055.06</t>
  </si>
  <si>
    <t>1575.37</t>
  </si>
  <si>
    <t>520.31</t>
  </si>
  <si>
    <t>132.1</t>
  </si>
  <si>
    <t>212.7</t>
  </si>
  <si>
    <t>28.4</t>
  </si>
  <si>
    <t>49.0</t>
  </si>
  <si>
    <t>2337.92</t>
  </si>
  <si>
    <t>2355.95</t>
  </si>
  <si>
    <t>18.03</t>
  </si>
  <si>
    <t>933.0</t>
  </si>
  <si>
    <t>243.34</t>
  </si>
  <si>
    <t>2405.3</t>
  </si>
  <si>
    <t>96.45</t>
  </si>
  <si>
    <t>82.05</t>
  </si>
  <si>
    <t>115.62</t>
  </si>
  <si>
    <t>109.77</t>
  </si>
  <si>
    <t>8.8</t>
  </si>
  <si>
    <t>183.8</t>
  </si>
  <si>
    <t>372.5</t>
  </si>
  <si>
    <t>5.2</t>
  </si>
  <si>
    <t>475.09</t>
  </si>
  <si>
    <t>771.0</t>
  </si>
  <si>
    <t>295.91</t>
  </si>
  <si>
    <t>480.7</t>
  </si>
  <si>
    <t>1621.3</t>
  </si>
  <si>
    <t>743.05</t>
  </si>
  <si>
    <t>1996.11</t>
  </si>
  <si>
    <t>1253.06</t>
  </si>
  <si>
    <t>573.0</t>
  </si>
  <si>
    <t>-16.0</t>
  </si>
  <si>
    <t>1250.9</t>
  </si>
  <si>
    <t>1555.3</t>
  </si>
  <si>
    <t>2051.09</t>
  </si>
  <si>
    <t>2289.13</t>
  </si>
  <si>
    <t>238.04</t>
  </si>
  <si>
    <t>189.05</t>
  </si>
  <si>
    <t>3942.73</t>
  </si>
  <si>
    <t>24.7</t>
  </si>
  <si>
    <t>18.28</t>
  </si>
  <si>
    <t>35.23</t>
  </si>
  <si>
    <t>30.26</t>
  </si>
  <si>
    <t>149.5</t>
  </si>
  <si>
    <t>296.4</t>
  </si>
  <si>
    <t>481.01</t>
  </si>
  <si>
    <t>801.38</t>
  </si>
  <si>
    <t>320.37</t>
  </si>
  <si>
    <t>327.0</t>
  </si>
  <si>
    <t>1536.2</t>
  </si>
  <si>
    <t>750.89</t>
  </si>
  <si>
    <t>2193.93</t>
  </si>
  <si>
    <t>1443.04</t>
  </si>
  <si>
    <t>911.0</t>
  </si>
  <si>
    <t>322.0</t>
  </si>
  <si>
    <t>1088.6</t>
  </si>
  <si>
    <t>1296.1</t>
  </si>
  <si>
    <t>15.1</t>
  </si>
  <si>
    <t>2578.21</t>
  </si>
  <si>
    <t>2535.34</t>
  </si>
  <si>
    <t>-42.87</t>
  </si>
  <si>
    <t>1001.0</t>
  </si>
  <si>
    <t>199.11</t>
  </si>
  <si>
    <t>2663.81</t>
  </si>
  <si>
    <t>133.09</t>
  </si>
  <si>
    <t>91.12</t>
  </si>
  <si>
    <t>300.94</t>
  </si>
  <si>
    <t>292.17</t>
  </si>
  <si>
    <t>68.97</t>
  </si>
  <si>
    <t>152.7</t>
  </si>
  <si>
    <t>313.0</t>
  </si>
  <si>
    <t>5.9</t>
  </si>
  <si>
    <t>480.16</t>
  </si>
  <si>
    <t>740.41</t>
  </si>
  <si>
    <t>260.25</t>
  </si>
  <si>
    <t>-2.0</t>
  </si>
  <si>
    <t>476.4</t>
  </si>
  <si>
    <t>1517.9</t>
  </si>
  <si>
    <t>1041.75</t>
  </si>
  <si>
    <t>2077.42</t>
  </si>
  <si>
    <t>1035.67</t>
  </si>
  <si>
    <t>1257.2</t>
  </si>
  <si>
    <t>1529.9</t>
  </si>
  <si>
    <t>2329.2</t>
  </si>
  <si>
    <t>2478.43</t>
  </si>
  <si>
    <t>149.23</t>
  </si>
  <si>
    <t>184.19</t>
  </si>
  <si>
    <t>782.39</t>
  </si>
  <si>
    <t>167.5</t>
  </si>
  <si>
    <t>165.08</t>
  </si>
  <si>
    <t>173.76</t>
  </si>
  <si>
    <t>170.78</t>
  </si>
  <si>
    <t>195.9</t>
  </si>
  <si>
    <t>334.9</t>
  </si>
  <si>
    <t>475.51</t>
  </si>
  <si>
    <t>499.1</t>
  </si>
  <si>
    <t>23.59</t>
  </si>
  <si>
    <t>186.2</t>
  </si>
  <si>
    <t>325.2</t>
  </si>
  <si>
    <t>552.44</t>
  </si>
  <si>
    <t>1254.84</t>
  </si>
  <si>
    <t>702.4</t>
  </si>
  <si>
    <t>607.0</t>
  </si>
  <si>
    <t>201.1</t>
  </si>
  <si>
    <t>332.5</t>
  </si>
  <si>
    <t>1458.18</t>
  </si>
  <si>
    <t>1652.93</t>
  </si>
  <si>
    <t>194.75</t>
  </si>
  <si>
    <t>0.44</t>
  </si>
  <si>
    <t>402.57</t>
  </si>
  <si>
    <t>21.73</t>
  </si>
  <si>
    <t>13.7</t>
  </si>
  <si>
    <t>50.71</t>
  </si>
  <si>
    <t>33.97</t>
  </si>
  <si>
    <t>8.23</t>
  </si>
  <si>
    <t>338.0</t>
  </si>
  <si>
    <t>1544.4</t>
  </si>
  <si>
    <t>1.2</t>
  </si>
  <si>
    <t>477.5</t>
  </si>
  <si>
    <t>2177.68</t>
  </si>
  <si>
    <t>1700.18</t>
  </si>
  <si>
    <t>1368.7</t>
  </si>
  <si>
    <t>1524.3</t>
  </si>
  <si>
    <t>2286.78</t>
  </si>
  <si>
    <t>2591.34</t>
  </si>
  <si>
    <t>304.56</t>
  </si>
  <si>
    <t>1482.9</t>
  </si>
  <si>
    <t>1535.1</t>
  </si>
  <si>
    <t>2472.2</t>
  </si>
  <si>
    <t>2579.5</t>
  </si>
  <si>
    <t>107.3</t>
  </si>
  <si>
    <t>0.37</t>
  </si>
  <si>
    <t>994.21</t>
  </si>
  <si>
    <t>21.7</t>
  </si>
  <si>
    <t>16.47</t>
  </si>
  <si>
    <t>39.76</t>
  </si>
  <si>
    <t>29.97</t>
  </si>
  <si>
    <t>4.87</t>
  </si>
  <si>
    <t>366.9</t>
  </si>
  <si>
    <t>1543.5</t>
  </si>
  <si>
    <t>479.64</t>
  </si>
  <si>
    <t>2174.82</t>
  </si>
  <si>
    <t>1695.18</t>
  </si>
  <si>
    <t>1336.4</t>
  </si>
  <si>
    <t>1532.7</t>
  </si>
  <si>
    <t>2298.23</t>
  </si>
  <si>
    <t>2568.97</t>
  </si>
  <si>
    <t>270.74</t>
  </si>
  <si>
    <t>799.0</t>
  </si>
  <si>
    <t>226.0</t>
  </si>
  <si>
    <t>882.6</t>
  </si>
  <si>
    <t>1087.6</t>
  </si>
  <si>
    <t>6.9</t>
  </si>
  <si>
    <t>2859.97</t>
  </si>
  <si>
    <t>2852.55</t>
  </si>
  <si>
    <t>-7.42</t>
  </si>
  <si>
    <t>977.0</t>
  </si>
  <si>
    <t>0.35</t>
  </si>
  <si>
    <t>726.52</t>
  </si>
  <si>
    <t>60.94</t>
  </si>
  <si>
    <t>43.58</t>
  </si>
  <si>
    <t>146.68</t>
  </si>
  <si>
    <t>72.49</t>
  </si>
  <si>
    <t>21.57</t>
  </si>
  <si>
    <t>302.4</t>
  </si>
  <si>
    <t>1525.1</t>
  </si>
  <si>
    <t>481.08</t>
  </si>
  <si>
    <t>2025.78</t>
  </si>
  <si>
    <t>1544.7</t>
  </si>
  <si>
    <t>1405.4</t>
  </si>
  <si>
    <t>1533.4</t>
  </si>
  <si>
    <t>2214.23</t>
  </si>
  <si>
    <t>2370.8</t>
  </si>
  <si>
    <t>156.57</t>
  </si>
  <si>
    <t>1299.4</t>
  </si>
  <si>
    <t>1542.5</t>
  </si>
  <si>
    <t>2519.8</t>
  </si>
  <si>
    <t>2743.54</t>
  </si>
  <si>
    <t>223.74</t>
  </si>
  <si>
    <t>0.31</t>
  </si>
  <si>
    <t>314.46</t>
  </si>
  <si>
    <t>27.01</t>
  </si>
  <si>
    <t>25.09</t>
  </si>
  <si>
    <t>29.67</t>
  </si>
  <si>
    <t>29.23</t>
  </si>
  <si>
    <t>1.48</t>
  </si>
  <si>
    <t>310.0</t>
  </si>
  <si>
    <t>358.8</t>
  </si>
  <si>
    <t>479.48</t>
  </si>
  <si>
    <t>479.58</t>
  </si>
  <si>
    <t>0.1</t>
  </si>
  <si>
    <t>30.5</t>
  </si>
  <si>
    <t>53.6</t>
  </si>
  <si>
    <t>479.85</t>
  </si>
  <si>
    <t>755.88</t>
  </si>
  <si>
    <t>276.03</t>
  </si>
  <si>
    <t>334.6</t>
  </si>
  <si>
    <t>467.9</t>
  </si>
  <si>
    <t>914.4</t>
  </si>
  <si>
    <t>914.63</t>
  </si>
  <si>
    <t>0.23</t>
  </si>
  <si>
    <t>537.99</t>
  </si>
  <si>
    <t>23.93</t>
  </si>
  <si>
    <t>22.19</t>
  </si>
  <si>
    <t>26.18</t>
  </si>
  <si>
    <t>25.83</t>
  </si>
  <si>
    <t>1.27</t>
  </si>
  <si>
    <t>473.98</t>
  </si>
  <si>
    <t>473.97</t>
  </si>
  <si>
    <t>-0.01</t>
  </si>
  <si>
    <t>58.5</t>
  </si>
  <si>
    <t>152.5</t>
  </si>
  <si>
    <t>474.34</t>
  </si>
  <si>
    <t>1178.73</t>
  </si>
  <si>
    <t>704.39</t>
  </si>
  <si>
    <t>748.0</t>
  </si>
  <si>
    <t>282.1</t>
  </si>
  <si>
    <t>378.8</t>
  </si>
  <si>
    <t>1028.54</t>
  </si>
  <si>
    <t>1028.71</t>
  </si>
  <si>
    <t>0.17</t>
  </si>
  <si>
    <t>792.0</t>
  </si>
  <si>
    <t xml:space="preserve"> </t>
  </si>
  <si>
    <t>RSS</t>
  </si>
  <si>
    <t>RSS_{Init-Start} [MB]</t>
  </si>
  <si>
    <t>RSS_{Init-End} [MB]</t>
  </si>
  <si>
    <t>RSS_{Load-Start} [MB]</t>
  </si>
  <si>
    <t>RSS_{Load-End} [MB]</t>
  </si>
  <si>
    <t>RSS_{Inf-Start} [MB]</t>
  </si>
  <si>
    <t>RSS_{Inf-End} [MB]</t>
  </si>
  <si>
    <t>\delta_{RSS} [MB]</t>
  </si>
  <si>
    <t>VRAM</t>
  </si>
  <si>
    <t>VRAM_{Init-Start}[MB]</t>
  </si>
  <si>
    <t>VRAM_{Init-End}[MB]</t>
  </si>
  <si>
    <t>VRAM_{Load-Start}[MB]</t>
  </si>
  <si>
    <t>VRAM_{Load-End}[MB]</t>
  </si>
  <si>
    <t>VRAM_{Inf-Start}[MB]</t>
  </si>
  <si>
    <t>VRAM_{Inf-End}[MB]</t>
  </si>
  <si>
    <t>\Delta_{VRAM} [MB]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</si>
</sst>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theme="9" tint="0.79998168889431442"/>
      </patternFill>
    </fill>
  </fills>
  <borders count="8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/>
      <right/>
      <top/>
      <bottom style="thin">
        <color theme="9" tint="0.39997558519241921"/>
      </bottom>
      <diagonal/>
    </border>
    <border>
      <left style="thin">
        <color theme="4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4" tint="0.39997558519241921"/>
      </right>
      <top/>
      <bottom style="thin">
        <color theme="9" tint="0.3999755851924192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2" xfId="0" applyFill="1" applyBorder="1"/>
    <xf numFmtId="0" fontId="0" fillId="0" borderId="2" xfId="0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3" xfId="0" applyFill="1" applyBorder="1"/>
    <xf numFmtId="0" fontId="0" fillId="0" borderId="1" xfId="0" applyBorder="1"/>
    <xf numFmtId="0" fontId="0" fillId="0" borderId="3" xfId="0" applyBorder="1"/>
    <xf numFmtId="0" fontId="0" fillId="3" borderId="4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4" xfId="0" applyFill="1" applyBorder="1" applyAlignment="1">
      <alignment horizontal="center" vertical="center"/>
    </xf>
    <xf numFmtId="0" fontId="0" fillId="0" borderId="0" xfId="0" applyAlignment="1">
      <alignment vertical="center"/>
    </xf>
    <xf numFmtId="2" fontId="0" fillId="3" borderId="2" xfId="0" applyNumberFormat="1" applyFill="1" applyBorder="1"/>
    <xf numFmtId="2" fontId="0" fillId="0" borderId="2" xfId="0" applyNumberFormat="1" applyBorder="1"/>
    <xf numFmtId="0" fontId="0" fillId="0" borderId="0" xfId="0" applyAlignment="1">
      <alignment wrapText="1"/>
    </xf>
    <xf numFmtId="0" fontId="0" fillId="0" borderId="3" xfId="0" applyBorder="1" applyAlignment="1">
      <alignment wrapText="1"/>
    </xf>
    <xf numFmtId="0" fontId="1" fillId="2" borderId="0" xfId="0" applyFont="1" applyFill="1"/>
    <xf numFmtId="0" fontId="0" fillId="3" borderId="0" xfId="0" applyFill="1"/>
    <xf numFmtId="0" fontId="1" fillId="2" borderId="5" xfId="0" applyFont="1" applyFill="1" applyBorder="1"/>
    <xf numFmtId="164" fontId="0" fillId="0" borderId="0" xfId="0" applyNumberFormat="1"/>
    <xf numFmtId="2" fontId="0" fillId="0" borderId="0" xfId="0" applyNumberFormat="1"/>
    <xf numFmtId="0" fontId="0" fillId="3" borderId="4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4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3" borderId="2" xfId="0" applyFont="1" applyFill="1" applyBorder="1"/>
    <xf numFmtId="0" fontId="0" fillId="0" borderId="2" xfId="0" applyFont="1" applyBorder="1"/>
    <xf numFmtId="0" fontId="0" fillId="0" borderId="0" xfId="0" applyNumberFormat="1"/>
    <xf numFmtId="2" fontId="0" fillId="3" borderId="2" xfId="0" applyNumberFormat="1" applyFont="1" applyFill="1" applyBorder="1"/>
    <xf numFmtId="2" fontId="0" fillId="0" borderId="2" xfId="0" applyNumberFormat="1" applyFont="1" applyBorder="1"/>
    <xf numFmtId="0" fontId="0" fillId="3" borderId="2" xfId="0" applyNumberFormat="1" applyFont="1" applyFill="1" applyBorder="1"/>
    <xf numFmtId="0" fontId="0" fillId="4" borderId="6" xfId="0" applyFont="1" applyFill="1" applyBorder="1"/>
    <xf numFmtId="0" fontId="0" fillId="4" borderId="2" xfId="0" applyFont="1" applyFill="1" applyBorder="1"/>
    <xf numFmtId="0" fontId="0" fillId="5" borderId="6" xfId="0" applyFont="1" applyFill="1" applyBorder="1"/>
    <xf numFmtId="0" fontId="0" fillId="5" borderId="2" xfId="0" applyFont="1" applyFill="1" applyBorder="1"/>
    <xf numFmtId="0" fontId="0" fillId="0" borderId="2" xfId="0" applyNumberFormat="1" applyFont="1" applyBorder="1"/>
    <xf numFmtId="0" fontId="1" fillId="2" borderId="7" xfId="0" applyFont="1" applyFill="1" applyBorder="1"/>
  </cellXfs>
  <cellStyles count="1">
    <cellStyle name="Normalny" xfId="0" builtinId="0"/>
  </cellStyles>
  <dxfs count="25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bottom style="thin">
          <color theme="9" tint="0.39997558519241921"/>
        </bottom>
      </border>
    </dxf>
    <dxf>
      <border outline="0">
        <top style="thin">
          <color theme="9" tint="0.39997558519241921"/>
        </top>
      </border>
    </dxf>
    <dxf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bottom style="thin">
          <color theme="9" tint="0.39997558519241921"/>
        </bottom>
      </border>
    </dxf>
    <dxf>
      <border outline="0">
        <top style="thin">
          <color theme="9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bottom style="thin">
          <color theme="9" tint="0.39997558519241921"/>
        </bottom>
      </border>
    </dxf>
    <dxf>
      <border outline="0">
        <top style="thin">
          <color theme="9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bottom style="thin">
          <color theme="9" tint="0.39997558519241921"/>
        </bottom>
      </border>
    </dxf>
    <dxf>
      <border outline="0">
        <top style="thin">
          <color theme="9" tint="0.39997558519241921"/>
        </top>
      </border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ADF99B46-937E-4137-90BB-F333360DF84A}" autoFormatId="16" applyNumberFormats="0" applyBorderFormats="0" applyFontFormats="0" applyPatternFormats="0" applyAlignmentFormats="0" applyWidthHeightFormats="0">
  <queryTableRefresh nextId="23">
    <queryTableFields count="22">
      <queryTableField id="1" name="Task" tableColumnId="1"/>
      <queryTableField id="2" name="Framework" tableColumnId="2"/>
      <queryTableField id="3" name="Backend" tableColumnId="3"/>
      <queryTableField id="4" name="Session#" tableColumnId="4"/>
      <queryTableField id="5" name="FrameworkInit(ms)" tableColumnId="5"/>
      <queryTableField id="6" name="ModelLoad(ms)" tableColumnId="6"/>
      <queryTableField id="7" name="Inference(ms)" tableColumnId="7"/>
      <queryTableField id="8" name="Total(ms)" tableColumnId="8"/>
      <queryTableField id="9" name="Init_AvgCPU(%)" tableColumnId="9"/>
      <queryTableField id="10" name="Init_PeakCPU(%)" tableColumnId="10"/>
      <queryTableField id="11" name="Init_AvgGPU(%)" tableColumnId="11"/>
      <queryTableField id="12" name="Init_PeakGPU(%)" tableColumnId="12"/>
      <queryTableField id="13" name="Inf_AvgCPU(%)" tableColumnId="13"/>
      <queryTableField id="14" name="Inf_PeakCPU(%)" tableColumnId="14"/>
      <queryTableField id="15" name="Inf_AvgGPU(%)" tableColumnId="15"/>
      <queryTableField id="16" name="Inf_PeakGPU(%)" tableColumnId="16"/>
      <queryTableField id="17" name="Inf_MemRSS_Start(MB)" tableColumnId="17"/>
      <queryTableField id="18" name="Inf_MemRSS_End(MB)" tableColumnId="18"/>
      <queryTableField id="19" name="Inf_MemDelta(MB)" tableColumnId="19"/>
      <queryTableField id="20" name="Inf_GPU_Mem_Start(MB)" tableColumnId="20"/>
      <queryTableField id="21" name="Inf_GPU_Mem_End(MB)" tableColumnId="21"/>
      <queryTableField id="22" name="Inf_GPU_Mem_Delta(MB)" tableColumnId="2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1F058251-86E7-44E2-8AA8-63E2A3F46D43}" autoFormatId="16" applyNumberFormats="0" applyBorderFormats="0" applyFontFormats="0" applyPatternFormats="0" applyAlignmentFormats="0" applyWidthHeightFormats="0">
  <queryTableRefresh nextId="11">
    <queryTableFields count="8">
      <queryTableField id="1" name="Task" tableColumnId="1"/>
      <queryTableField id="2" name="Framework" tableColumnId="2"/>
      <queryTableField id="3" name="Backend" tableColumnId="3"/>
      <queryTableField id="5" name="FrameworkInit(ms)" tableColumnId="5"/>
      <queryTableField id="6" name="ModelLoad(ms)" tableColumnId="6"/>
      <queryTableField id="4" name="Session#" tableColumnId="4"/>
      <queryTableField id="7" name="Inference(ms)" tableColumnId="7"/>
      <queryTableField id="8" name="Error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391F3C9-F46C-4022-8363-E2028E02E942}" autoFormatId="16" applyNumberFormats="0" applyBorderFormats="0" applyFontFormats="0" applyPatternFormats="0" applyAlignmentFormats="0" applyWidthHeightFormats="0">
  <queryTableRefresh nextId="41" unboundColumnsRight="6">
    <queryTableFields count="40">
      <queryTableField id="1" name="Task" tableColumnId="1"/>
      <queryTableField id="2" name="Framework" tableColumnId="2"/>
      <queryTableField id="3" name="Backend" tableColumnId="3"/>
      <queryTableField id="4" name="FrameworkInit(ms)" tableColumnId="4"/>
      <queryTableField id="5" name="ModelLoad(ms)" tableColumnId="5"/>
      <queryTableField id="6" name="AvgInference(ms)" tableColumnId="6"/>
      <queryTableField id="7" name="MinInference(ms)" tableColumnId="7"/>
      <queryTableField id="8" name="MaxInference(ms)" tableColumnId="8"/>
      <queryTableField id="9" name="P95Inference(ms)" tableColumnId="9"/>
      <queryTableField id="10" name="StdevInference(ms)" tableColumnId="10"/>
      <queryTableField id="11" name="Init_AvgCPU(%)" tableColumnId="11"/>
      <queryTableField id="12" name="Init_PeakCPU(%)" tableColumnId="12"/>
      <queryTableField id="13" name="Init_AvgGPU(%)" tableColumnId="13"/>
      <queryTableField id="14" name="Init_PeakGPU(%)" tableColumnId="14"/>
      <queryTableField id="15" name="Init_MemRSS_Start(MB)" tableColumnId="15"/>
      <queryTableField id="16" name="Init_MemRSS_End(MB)" tableColumnId="16"/>
      <queryTableField id="17" name="Init_MemDelta(MB)" tableColumnId="17"/>
      <queryTableField id="18" name="Load_AvgCPU(%)" tableColumnId="18"/>
      <queryTableField id="19" name="Load_PeakCPU(%)" tableColumnId="19"/>
      <queryTableField id="20" name="Load_MemRSS_Start(MB)" tableColumnId="20"/>
      <queryTableField id="21" name="Load_MemRSS_End(MB)" tableColumnId="21"/>
      <queryTableField id="22" name="Load_MemDelta(MB)" tableColumnId="22"/>
      <queryTableField id="23" name="Inf_AvgCPU(%)" tableColumnId="23"/>
      <queryTableField id="24" name="Inf_PeakCPU(%)" tableColumnId="24"/>
      <queryTableField id="25" name="Inf_AvgGPU(%)" tableColumnId="25"/>
      <queryTableField id="26" name="Inf_PeakGPU(%)" tableColumnId="26"/>
      <queryTableField id="27" name="Inf_MemRSS_Start(MB)" tableColumnId="27"/>
      <queryTableField id="28" name="Inf_MemRSS_End(MB)" tableColumnId="28"/>
      <queryTableField id="29" name="Inf_MemDelta(MB)" tableColumnId="29"/>
      <queryTableField id="30" name="Inf_GPU_Mem_Start(MB)" tableColumnId="30"/>
      <queryTableField id="31" name="Inf_GPU_Mem_End(MB)" tableColumnId="31"/>
      <queryTableField id="32" name="Inf_GPU_Mem_Delta(MB)" tableColumnId="32"/>
      <queryTableField id="33" name="Top1Prediction" tableColumnId="33"/>
      <queryTableField id="34" name="Top1Score(%)" tableColumnId="34"/>
      <queryTableField id="35" dataBound="0" tableColumnId="35"/>
      <queryTableField id="36" dataBound="0" tableColumnId="36"/>
      <queryTableField id="37" dataBound="0" tableColumnId="37"/>
      <queryTableField id="38" dataBound="0" tableColumnId="38"/>
      <queryTableField id="39" dataBound="0" tableColumnId="39"/>
      <queryTableField id="40" dataBound="0" tableColumnId="4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41214D4E-19BD-438C-827A-DB0B1DA300A7}" autoFormatId="16" applyNumberFormats="0" applyBorderFormats="0" applyFontFormats="0" applyPatternFormats="0" applyAlignmentFormats="0" applyWidthHeightFormats="0">
  <queryTableRefresh nextId="42">
    <queryTableFields count="41">
      <queryTableField id="1" name="Task" tableColumnId="1"/>
      <queryTableField id="2" name="Framework" tableColumnId="2"/>
      <queryTableField id="3" name="Backend" tableColumnId="3"/>
      <queryTableField id="4" name="FrameworkInit(ms)" tableColumnId="4"/>
      <queryTableField id="5" name="ModelLoad(ms)" tableColumnId="5"/>
      <queryTableField id="6" name="AvgInference(ms)" tableColumnId="6"/>
      <queryTableField id="7" name="MinInference(ms)" tableColumnId="7"/>
      <queryTableField id="8" name="MaxInference(ms)" tableColumnId="8"/>
      <queryTableField id="9" name="P95Inference(ms)" tableColumnId="9"/>
      <queryTableField id="10" name="StdevInference(ms)" tableColumnId="10"/>
      <queryTableField id="11" name="Init_AvgCPU(%)" tableColumnId="11"/>
      <queryTableField id="12" name="Init_PeakCPU(%)" tableColumnId="12"/>
      <queryTableField id="13" name="Init_AvgGPU(%)" tableColumnId="13"/>
      <queryTableField id="14" name="Init_PeakGPU(%)" tableColumnId="14"/>
      <queryTableField id="15" name="Init_MemRSS_Start(MB)" tableColumnId="15"/>
      <queryTableField id="16" name="Init_MemRSS_End(MB)" tableColumnId="16"/>
      <queryTableField id="17" name="Init_MemDelta(MB)" tableColumnId="17"/>
      <queryTableField id="18" name="Init_GPU_Mem_Start(MB)" tableColumnId="18"/>
      <queryTableField id="19" name="Init_GPU_Mem_End(MB)" tableColumnId="19"/>
      <queryTableField id="20" name="Init_GPU_Mem_Delta(MB)" tableColumnId="20"/>
      <queryTableField id="21" name="Load_AvgCPU(%)" tableColumnId="21"/>
      <queryTableField id="22" name="Load_PeakCPU(%)" tableColumnId="22"/>
      <queryTableField id="23" name="Load_MemRSS_Start(MB)" tableColumnId="23"/>
      <queryTableField id="24" name="Load_MemRSS_End(MB)" tableColumnId="24"/>
      <queryTableField id="25" name="Load_MemDelta(MB)" tableColumnId="25"/>
      <queryTableField id="26" name="Load_GPU_Mem_Start(MB)" tableColumnId="26"/>
      <queryTableField id="27" name="Load_GPU_Mem_End(MB)" tableColumnId="27"/>
      <queryTableField id="28" name="Load_GPU_Mem_Delta(MB)" tableColumnId="28"/>
      <queryTableField id="29" name="Inf_AvgCPU(%)" tableColumnId="29"/>
      <queryTableField id="30" name="Inf_PeakCPU(%)" tableColumnId="30"/>
      <queryTableField id="31" name="Inf_AvgGPU(%)" tableColumnId="31"/>
      <queryTableField id="32" name="Inf_PeakGPU(%)" tableColumnId="32"/>
      <queryTableField id="33" name="Inf_MemRSS_Start(MB)" tableColumnId="33"/>
      <queryTableField id="34" name="Inf_MemRSS_End(MB)" tableColumnId="34"/>
      <queryTableField id="35" name="Inf_MemDelta(MB)" tableColumnId="35"/>
      <queryTableField id="36" name="Inf_GPU_Mem_Start(MB)" tableColumnId="36"/>
      <queryTableField id="37" name="Inf_GPU_Mem_End(MB)" tableColumnId="37"/>
      <queryTableField id="38" name="Inf_GPU_Mem_Delta(MB)" tableColumnId="38"/>
      <queryTableField id="39" name="Top1Prediction" tableColumnId="39"/>
      <queryTableField id="40" name="Top1Score(%)" tableColumnId="40"/>
      <queryTableField id="41" name="Error" tableColumnId="4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91E0E7BA-4C10-486D-93D8-062FB7271561}" autoFormatId="16" applyNumberFormats="0" applyBorderFormats="0" applyFontFormats="0" applyPatternFormats="0" applyAlignmentFormats="0" applyWidthHeightFormats="0">
  <queryTableRefresh nextId="42" unboundColumnsRight="6">
    <queryTableFields count="41">
      <queryTableField id="1" name="Task" tableColumnId="1"/>
      <queryTableField id="2" name="Framework" tableColumnId="2"/>
      <queryTableField id="3" name="Backend" tableColumnId="3"/>
      <queryTableField id="4" name="FrameworkInit(ms)" tableColumnId="4"/>
      <queryTableField id="5" name="ModelLoad(ms)" tableColumnId="5"/>
      <queryTableField id="6" name="AvgInference(ms)" tableColumnId="6"/>
      <queryTableField id="7" name="MinInference(ms)" tableColumnId="7"/>
      <queryTableField id="8" name="MaxInference(ms)" tableColumnId="8"/>
      <queryTableField id="9" name="P95Inference(ms)" tableColumnId="9"/>
      <queryTableField id="10" name="StdevInference(ms)" tableColumnId="10"/>
      <queryTableField id="11" name="Init_AvgCPU(%)" tableColumnId="11"/>
      <queryTableField id="12" name="Init_PeakCPU(%)" tableColumnId="12"/>
      <queryTableField id="13" name="Init_AvgGPU(%)" tableColumnId="13"/>
      <queryTableField id="14" name="Init_PeakGPU(%)" tableColumnId="14"/>
      <queryTableField id="15" name="Init_MemRSS_Start(MB)" tableColumnId="15"/>
      <queryTableField id="16" name="Init_MemRSS_End(MB)" tableColumnId="16"/>
      <queryTableField id="17" name="Init_MemDelta(MB)" tableColumnId="17"/>
      <queryTableField id="18" name="Load_AvgCPU(%)" tableColumnId="18"/>
      <queryTableField id="19" name="Load_PeakCPU(%)" tableColumnId="19"/>
      <queryTableField id="20" name="Load_MemRSS_Start(MB)" tableColumnId="20"/>
      <queryTableField id="21" name="Load_MemRSS_End(MB)" tableColumnId="21"/>
      <queryTableField id="22" name="Load_MemDelta(MB)" tableColumnId="22"/>
      <queryTableField id="23" name="Inf_AvgCPU(%)" tableColumnId="23"/>
      <queryTableField id="24" name="Inf_PeakCPU(%)" tableColumnId="24"/>
      <queryTableField id="25" name="Inf_AvgGPU(%)" tableColumnId="25"/>
      <queryTableField id="26" name="Inf_PeakGPU(%)" tableColumnId="26"/>
      <queryTableField id="27" name="Inf_MemRSS_Start(MB)" tableColumnId="27"/>
      <queryTableField id="28" name="Inf_MemRSS_End(MB)" tableColumnId="28"/>
      <queryTableField id="29" name="Inf_MemDelta(MB)" tableColumnId="29"/>
      <queryTableField id="30" dataBound="0" tableColumnId="30"/>
      <queryTableField id="31" dataBound="0" tableColumnId="31"/>
      <queryTableField id="32" dataBound="0" tableColumnId="32"/>
      <queryTableField id="33" name="Top1Prediction" tableColumnId="33"/>
      <queryTableField id="34" name="Top1Score(%)" tableColumnId="34"/>
      <queryTableField id="35" name="Error" tableColumnId="35"/>
      <queryTableField id="36" dataBound="0" tableColumnId="36"/>
      <queryTableField id="37" dataBound="0" tableColumnId="37"/>
      <queryTableField id="38" dataBound="0" tableColumnId="38"/>
      <queryTableField id="39" dataBound="0" tableColumnId="39"/>
      <queryTableField id="40" dataBound="0" tableColumnId="40"/>
      <queryTableField id="41" dataBound="0" tableColumnId="41"/>
    </queryTableFields>
    <queryTableDeletedFields count="3">
      <deletedField name="Inf_GPU_Mem_Start(MB)"/>
      <deletedField name="Inf_GPU_Mem_End(MB)"/>
      <deletedField name="Inf_GPU_Mem_Delta(MB)"/>
    </queryTableDeleted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A1D3B06F-D317-4C1B-966E-0EFAACC6833B}" autoFormatId="16" applyNumberFormats="0" applyBorderFormats="0" applyFontFormats="0" applyPatternFormats="0" applyAlignmentFormats="0" applyWidthHeightFormats="0">
  <queryTableRefresh nextId="42">
    <queryTableFields count="41">
      <queryTableField id="1" name="Task" tableColumnId="1"/>
      <queryTableField id="2" name="Framework" tableColumnId="2"/>
      <queryTableField id="3" name="Backend" tableColumnId="3"/>
      <queryTableField id="4" name="FrameworkInit(ms)" tableColumnId="4"/>
      <queryTableField id="5" name="ModelLoad(ms)" tableColumnId="5"/>
      <queryTableField id="6" name="AvgInference(ms)" tableColumnId="6"/>
      <queryTableField id="7" name="MinInference(ms)" tableColumnId="7"/>
      <queryTableField id="8" name="MaxInference(ms)" tableColumnId="8"/>
      <queryTableField id="9" name="P95Inference(ms)" tableColumnId="9"/>
      <queryTableField id="10" name="StdevInference(ms)" tableColumnId="10"/>
      <queryTableField id="11" name="Init_AvgCPU(%)" tableColumnId="11"/>
      <queryTableField id="12" name="Init_PeakCPU(%)" tableColumnId="12"/>
      <queryTableField id="13" name="Init_AvgGPU(%)" tableColumnId="13"/>
      <queryTableField id="14" name="Init_PeakGPU(%)" tableColumnId="14"/>
      <queryTableField id="15" name="Init_MemRSS_Start(MB)" tableColumnId="15"/>
      <queryTableField id="16" name="Init_MemRSS_End(MB)" tableColumnId="16"/>
      <queryTableField id="17" name="Init_MemDelta(MB)" tableColumnId="17"/>
      <queryTableField id="18" name="Init_GPU_Mem_Start(MB)" tableColumnId="18"/>
      <queryTableField id="19" name="Init_GPU_Mem_End(MB)" tableColumnId="19"/>
      <queryTableField id="20" name="Init_GPU_Mem_Delta(MB)" tableColumnId="20"/>
      <queryTableField id="21" name="Load_AvgCPU(%)" tableColumnId="21"/>
      <queryTableField id="22" name="Load_PeakCPU(%)" tableColumnId="22"/>
      <queryTableField id="23" name="Load_MemRSS_Start(MB)" tableColumnId="23"/>
      <queryTableField id="24" name="Load_MemRSS_End(MB)" tableColumnId="24"/>
      <queryTableField id="25" name="Load_MemDelta(MB)" tableColumnId="25"/>
      <queryTableField id="26" name="Load_GPU_Mem_Start(MB)" tableColumnId="26"/>
      <queryTableField id="27" name="Load_GPU_Mem_End(MB)" tableColumnId="27"/>
      <queryTableField id="28" name="Load_GPU_Mem_Delta(MB)" tableColumnId="28"/>
      <queryTableField id="29" name="Inf_AvgCPU(%)" tableColumnId="29"/>
      <queryTableField id="30" name="Inf_PeakCPU(%)" tableColumnId="30"/>
      <queryTableField id="31" name="Inf_AvgGPU(%)" tableColumnId="31"/>
      <queryTableField id="32" name="Inf_PeakGPU(%)" tableColumnId="32"/>
      <queryTableField id="33" name="Inf_MemRSS_Start(MB)" tableColumnId="33"/>
      <queryTableField id="34" name="Inf_MemRSS_End(MB)" tableColumnId="34"/>
      <queryTableField id="35" name="Inf_MemDelta(MB)" tableColumnId="35"/>
      <queryTableField id="36" name="Inf_GPU_Mem_Start(MB)" tableColumnId="36"/>
      <queryTableField id="37" name="Inf_GPU_Mem_End(MB)" tableColumnId="37"/>
      <queryTableField id="38" name="Inf_GPU_Mem_Delta(MB)" tableColumnId="38"/>
      <queryTableField id="39" name="Top1Prediction" tableColumnId="39"/>
      <queryTableField id="40" name="Top1Score(%)" tableColumnId="40"/>
      <queryTableField id="41" name="Error" tableColumnId="4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F3778D-1F31-4FAF-86F0-8E68CB9F8096}" name="session_results_image" displayName="session_results_image" ref="A1:V141" tableType="queryTable" totalsRowShown="0">
  <autoFilter ref="A1:V141" xr:uid="{87F3778D-1F31-4FAF-86F0-8E68CB9F8096}"/>
  <tableColumns count="22">
    <tableColumn id="1" xr3:uid="{45B4BDE3-02B9-46B6-8688-CA8106336E74}" uniqueName="1" name="Task" queryTableFieldId="1" dataDxfId="221"/>
    <tableColumn id="2" xr3:uid="{6B778796-878A-455E-9845-DA93116375F0}" uniqueName="2" name="Framework" queryTableFieldId="2" dataDxfId="220"/>
    <tableColumn id="3" xr3:uid="{7C57ABE8-0DA0-486D-9AEB-905C77D9EF51}" uniqueName="3" name="Backend" queryTableFieldId="3" dataDxfId="219"/>
    <tableColumn id="4" xr3:uid="{50EEB102-CA31-479F-B014-62B1B36B9E68}" uniqueName="4" name="Session#" queryTableFieldId="4"/>
    <tableColumn id="5" xr3:uid="{74F32956-18F0-4E90-8D9A-3A560A74D237}" uniqueName="5" name="FrameworkInit(ms)" queryTableFieldId="5" dataDxfId="218"/>
    <tableColumn id="6" xr3:uid="{5B3C2AAD-7928-44D8-80F4-51A0B78254DD}" uniqueName="6" name="ModelLoad(ms)" queryTableFieldId="6" dataDxfId="217"/>
    <tableColumn id="7" xr3:uid="{CF65FFC7-87CA-4F8E-A506-320741B2E7EB}" uniqueName="7" name="Inference(ms)" queryTableFieldId="7" dataDxfId="216"/>
    <tableColumn id="8" xr3:uid="{1BD0F3F6-67CD-421F-94FC-0520983E4033}" uniqueName="8" name="Total(ms)" queryTableFieldId="8" dataDxfId="215"/>
    <tableColumn id="9" xr3:uid="{A8C967F2-55BB-468D-9B9F-0156817EF141}" uniqueName="9" name="Init_AvgCPU(%)" queryTableFieldId="9" dataDxfId="214"/>
    <tableColumn id="10" xr3:uid="{696EC141-3A61-422F-BE25-AB2E5BFC57C6}" uniqueName="10" name="Init_PeakCPU(%)" queryTableFieldId="10" dataDxfId="213"/>
    <tableColumn id="11" xr3:uid="{3A0317AE-2112-4902-B28B-B60636AF92F8}" uniqueName="11" name="Init_AvgGPU(%)" queryTableFieldId="11" dataDxfId="212"/>
    <tableColumn id="12" xr3:uid="{75D2B8EF-6522-4191-B509-E6221D7C6F80}" uniqueName="12" name="Init_PeakGPU(%)" queryTableFieldId="12" dataDxfId="211"/>
    <tableColumn id="13" xr3:uid="{62634986-63E6-47FA-A678-3D29D4262CA8}" uniqueName="13" name="Inf_AvgCPU(%)" queryTableFieldId="13" dataDxfId="210"/>
    <tableColumn id="14" xr3:uid="{2757DD6C-07D6-433C-9520-FA90EB4616D4}" uniqueName="14" name="Inf_PeakCPU(%)" queryTableFieldId="14" dataDxfId="209"/>
    <tableColumn id="15" xr3:uid="{4726ED16-8C71-4A76-9F20-2EA047C18135}" uniqueName="15" name="Inf_AvgGPU(%)" queryTableFieldId="15" dataDxfId="208"/>
    <tableColumn id="16" xr3:uid="{2E5C3827-0178-426C-ACFA-FB15F66A3207}" uniqueName="16" name="Inf_PeakGPU(%)" queryTableFieldId="16" dataDxfId="207"/>
    <tableColumn id="17" xr3:uid="{55258C7E-858F-49D6-B593-49672DD07E89}" uniqueName="17" name="Inf_MemRSS_Start(MB)" queryTableFieldId="17" dataDxfId="206"/>
    <tableColumn id="18" xr3:uid="{F01FEAB9-6D53-4716-9CD5-090015DA7F3C}" uniqueName="18" name="Inf_MemRSS_End(MB)" queryTableFieldId="18" dataDxfId="205"/>
    <tableColumn id="19" xr3:uid="{D168B0EE-975F-456E-8C0D-5B8C55569066}" uniqueName="19" name="Inf_MemDelta(MB)" queryTableFieldId="19" dataDxfId="204"/>
    <tableColumn id="20" xr3:uid="{B0AFC2CC-CAF0-460E-ADD7-41D74C5F392C}" uniqueName="20" name="Inf_GPU_Mem_Start(MB)" queryTableFieldId="20" dataDxfId="203"/>
    <tableColumn id="21" xr3:uid="{F0C7215A-9E38-4391-9BC8-A2F0BE0DD8C4}" uniqueName="21" name="Inf_GPU_Mem_End(MB)" queryTableFieldId="21" dataDxfId="202"/>
    <tableColumn id="22" xr3:uid="{6D53987F-70CD-4093-9FC1-36856DFC7B4D}" uniqueName="22" name="Inf_GPU_Mem_Delta(MB)" queryTableFieldId="22" dataDxfId="20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C270DA5-AE9F-40E5-A207-33919E2347B9}" name="Tabela4" displayName="Tabela4" ref="AL85:AN99" totalsRowShown="0" headerRowDxfId="200" headerRowBorderDxfId="199" tableBorderDxfId="198">
  <autoFilter ref="AL85:AN99" xr:uid="{CC270DA5-AE9F-40E5-A207-33919E2347B9}"/>
  <sortState xmlns:xlrd2="http://schemas.microsoft.com/office/spreadsheetml/2017/richdata2" ref="AL86:AN99">
    <sortCondition descending="1" ref="AN85:AN99"/>
  </sortState>
  <tableColumns count="3">
    <tableColumn id="1" xr3:uid="{083980D0-6963-4853-858E-5137AF1634FD}" name="Framework" dataDxfId="197"/>
    <tableColumn id="2" xr3:uid="{61F8AF13-FAB1-4B9C-B71A-61B3DFE0BF81}" name="Backend"/>
    <tableColumn id="3" xr3:uid="{2897CEC9-3E04-4FAE-8176-99C04F2DBF7C}" name="Nachylenie" dataDxfId="19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31F7D3-0FD9-43D9-8720-5F93A4EA848D}" name="session_results_text" displayName="session_results_text" ref="A1:H123" tableType="queryTable" totalsRowShown="0">
  <autoFilter ref="A1:H123" xr:uid="{9231F7D3-0FD9-43D9-8720-5F93A4EA848D}"/>
  <tableColumns count="8">
    <tableColumn id="1" xr3:uid="{5069EFD9-5550-4621-9A14-F69A4E941C53}" uniqueName="1" name="Task" queryTableFieldId="1" dataDxfId="195"/>
    <tableColumn id="2" xr3:uid="{5D87E665-1514-4B8E-A984-19770EF3B415}" uniqueName="2" name="Framework" queryTableFieldId="2" dataDxfId="194"/>
    <tableColumn id="3" xr3:uid="{EF1AC769-0F85-44D7-A16E-61065EBFA09E}" uniqueName="3" name="Backend" queryTableFieldId="3" dataDxfId="193"/>
    <tableColumn id="5" xr3:uid="{6BBBE5F6-5DE2-4318-8904-8AAD818F89CF}" uniqueName="5" name="FrameworkInit(ms)" queryTableFieldId="5" dataDxfId="192"/>
    <tableColumn id="6" xr3:uid="{DD41D871-E30F-4F7F-9B36-5A525EB086A3}" uniqueName="6" name="ModelLoad(ms)" queryTableFieldId="6" dataDxfId="191"/>
    <tableColumn id="4" xr3:uid="{D8040E55-C762-4529-A443-EF455D16EC39}" uniqueName="4" name="Session#" queryTableFieldId="4"/>
    <tableColumn id="7" xr3:uid="{75F60E12-CB02-48EA-93FB-2B42ECD4D30A}" uniqueName="7" name="Inference(ms)" queryTableFieldId="7" dataDxfId="190"/>
    <tableColumn id="8" xr3:uid="{AFD8DE67-C909-4147-BAAC-4E779797F684}" uniqueName="8" name="Error" queryTableFieldId="8" dataDxfId="18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681B260-461F-4777-888B-370538A3263C}" name="Tabela6" displayName="Tabela6" ref="AP70:AR82" totalsRowShown="0" headerRowDxfId="188" headerRowBorderDxfId="187" tableBorderDxfId="186">
  <autoFilter ref="AP70:AR82" xr:uid="{B681B260-461F-4777-888B-370538A3263C}"/>
  <sortState xmlns:xlrd2="http://schemas.microsoft.com/office/spreadsheetml/2017/richdata2" ref="AP71:AR82">
    <sortCondition descending="1" ref="AR70:AR82"/>
  </sortState>
  <tableColumns count="3">
    <tableColumn id="1" xr3:uid="{9D3DCE9D-675E-432B-8490-857F3F6AF2A9}" name="Framework" dataDxfId="185"/>
    <tableColumn id="2" xr3:uid="{A615857C-F4CD-4C21-86D3-9010C40D56EA}" name="Backend"/>
    <tableColumn id="3" xr3:uid="{B970E0AB-D4CC-4D39-8D59-641FF646642F}" name="Nachyleni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6CE21CC-93B1-4451-ACC3-AC9176769340}" name="benchmark_results_image__2" displayName="benchmark_results_image__2" ref="A1:AN15" tableType="queryTable" totalsRowShown="0">
  <autoFilter ref="A1:AN15" xr:uid="{D6CE21CC-93B1-4451-ACC3-AC9176769340}"/>
  <sortState xmlns:xlrd2="http://schemas.microsoft.com/office/spreadsheetml/2017/richdata2" ref="A2:AN15">
    <sortCondition ref="F1:F15"/>
  </sortState>
  <tableColumns count="40">
    <tableColumn id="1" xr3:uid="{C531BB9B-BDE9-4546-92E3-B32ED91E8752}" uniqueName="1" name="Task" queryTableFieldId="1" dataDxfId="184"/>
    <tableColumn id="2" xr3:uid="{EDC00319-4709-4AA1-9BB1-BF1CC885809B}" uniqueName="2" name="Framework" queryTableFieldId="2" dataDxfId="183"/>
    <tableColumn id="3" xr3:uid="{90CE0213-5B73-41C8-85CC-2F46D5B098D2}" uniqueName="3" name="Backend" queryTableFieldId="3" dataDxfId="182"/>
    <tableColumn id="4" xr3:uid="{8FBC05DF-2849-494A-9719-135514275F3F}" uniqueName="4" name="FrameworkInit(ms)" queryTableFieldId="4" dataDxfId="181"/>
    <tableColumn id="5" xr3:uid="{5EFED57A-FF0B-4561-89E3-5E4C49ACB9C2}" uniqueName="5" name="ModelLoad(ms)" queryTableFieldId="5" dataDxfId="180"/>
    <tableColumn id="6" xr3:uid="{7161B71C-A627-4848-91D5-9683A3CCD6A0}" uniqueName="6" name="AvgInference(ms)" queryTableFieldId="6" dataDxfId="179"/>
    <tableColumn id="7" xr3:uid="{2DB7FB4E-C916-4B8D-A354-ACD847FA7D36}" uniqueName="7" name="MinInference(ms)" queryTableFieldId="7" dataDxfId="178"/>
    <tableColumn id="8" xr3:uid="{552C3DF0-296D-4F9C-879B-CB1810AB891A}" uniqueName="8" name="MaxInference(ms)" queryTableFieldId="8" dataDxfId="177"/>
    <tableColumn id="9" xr3:uid="{8E853E50-31E7-4947-AA9D-E7FCD2B331BF}" uniqueName="9" name="P95Inference(ms)" queryTableFieldId="9" dataDxfId="176"/>
    <tableColumn id="10" xr3:uid="{BA58659F-BF21-498B-9651-8D68CC433DA7}" uniqueName="10" name="StdevInference(ms)" queryTableFieldId="10" dataDxfId="175"/>
    <tableColumn id="11" xr3:uid="{E0E9C52C-25BC-4E41-A344-AF0F9059EDB5}" uniqueName="11" name="Init_AvgCPU(%)" queryTableFieldId="11" dataDxfId="174"/>
    <tableColumn id="12" xr3:uid="{9A5CC0C0-5B7B-4D7B-BA01-87A5A9284F3C}" uniqueName="12" name="Init_PeakCPU(%)" queryTableFieldId="12" dataDxfId="173"/>
    <tableColumn id="13" xr3:uid="{24C83D59-259E-4BEC-89CA-29712B73A29D}" uniqueName="13" name="Init_AvgGPU(%)" queryTableFieldId="13" dataDxfId="172"/>
    <tableColumn id="14" xr3:uid="{AE442AC3-1F64-46FF-AEAD-6B2264635EF2}" uniqueName="14" name="Init_PeakGPU(%)" queryTableFieldId="14" dataDxfId="171"/>
    <tableColumn id="15" xr3:uid="{0153BCB5-8FE5-4C3D-865D-7113EBA9DD39}" uniqueName="15" name="Init_MemRSS_Start(MB)" queryTableFieldId="15" dataDxfId="170"/>
    <tableColumn id="16" xr3:uid="{F8B57C6A-3C5A-415C-A28E-4F9FCD63B060}" uniqueName="16" name="Init_MemRSS_End(MB)" queryTableFieldId="16" dataDxfId="169"/>
    <tableColumn id="17" xr3:uid="{32C63A1F-0001-4D33-823B-DCE13F4F6956}" uniqueName="17" name="Init_MemDelta(MB)" queryTableFieldId="17" dataDxfId="168"/>
    <tableColumn id="18" xr3:uid="{09BBAEAA-9988-4048-8083-D14B04253987}" uniqueName="18" name="Load_AvgCPU(%)" queryTableFieldId="18" dataDxfId="167"/>
    <tableColumn id="19" xr3:uid="{1410533A-8A81-4D0D-AAF5-70D1FA6959A2}" uniqueName="19" name="Load_PeakCPU(%)" queryTableFieldId="19" dataDxfId="166"/>
    <tableColumn id="20" xr3:uid="{0A9E0462-7A9A-4388-BB1F-937247681F12}" uniqueName="20" name="Load_MemRSS_Start(MB)" queryTableFieldId="20" dataDxfId="165"/>
    <tableColumn id="21" xr3:uid="{1EF2EA95-F6FA-48B5-99CB-4D1A428448BF}" uniqueName="21" name="Load_MemRSS_End(MB)" queryTableFieldId="21" dataDxfId="164"/>
    <tableColumn id="22" xr3:uid="{F14A9138-B373-4E9A-8119-AB7BFBBF6CC7}" uniqueName="22" name="Load_MemDelta(MB)" queryTableFieldId="22" dataDxfId="163"/>
    <tableColumn id="23" xr3:uid="{CB07C30B-2457-4016-830D-64EACEECD8F9}" uniqueName="23" name="Inf_AvgCPU(%)" queryTableFieldId="23" dataDxfId="162"/>
    <tableColumn id="24" xr3:uid="{1BC455A6-8AB4-48C5-BAB3-89F80D8542AC}" uniqueName="24" name="Inf_PeakCPU(%)" queryTableFieldId="24" dataDxfId="161"/>
    <tableColumn id="25" xr3:uid="{A85712CA-B3D9-40C1-A1E6-05B615C92837}" uniqueName="25" name="Inf_AvgGPU(%)" queryTableFieldId="25" dataDxfId="160"/>
    <tableColumn id="26" xr3:uid="{6F216CE7-1C43-4C6F-8390-1430E9F453B4}" uniqueName="26" name="Inf_PeakGPU(%)" queryTableFieldId="26" dataDxfId="159"/>
    <tableColumn id="27" xr3:uid="{A013546B-7197-4BC7-89F5-3B5A8B7CB724}" uniqueName="27" name="Inf_MemRSS_Start(MB)" queryTableFieldId="27" dataDxfId="158"/>
    <tableColumn id="28" xr3:uid="{CF15E5CF-235B-4097-91E7-4F14A3B74B10}" uniqueName="28" name="Inf_MemRSS_End(MB)" queryTableFieldId="28" dataDxfId="157"/>
    <tableColumn id="29" xr3:uid="{658E6CAA-1F04-48E0-8BD8-893A77578552}" uniqueName="29" name="Inf_MemDelta(MB)" queryTableFieldId="29" dataDxfId="156"/>
    <tableColumn id="30" xr3:uid="{4BB16B06-202B-4A7E-B3DE-6D76482EF073}" uniqueName="30" name="Inf_GPU_Mem_Start(MB)" queryTableFieldId="30" dataDxfId="56"/>
    <tableColumn id="31" xr3:uid="{F7B5CB40-6721-48AB-B5C0-05B9DDA454FC}" uniqueName="31" name="Inf_GPU_Mem_End(MB)" queryTableFieldId="31" dataDxfId="55"/>
    <tableColumn id="32" xr3:uid="{92F00E3A-E5A6-48F8-B77F-D0D48654C317}" uniqueName="32" name="Inf_GPU_Mem_Delta(MB)" queryTableFieldId="32" dataDxfId="54"/>
    <tableColumn id="33" xr3:uid="{3060E489-CD00-4898-95FE-42D85D4CDBA6}" uniqueName="33" name="Top1Prediction" queryTableFieldId="33" dataDxfId="155"/>
    <tableColumn id="34" xr3:uid="{D32B8AF2-9FFB-48F7-BCD4-8FCD6A334DA0}" uniqueName="34" name="Top1Score(%)" queryTableFieldId="34" dataDxfId="154"/>
    <tableColumn id="35" xr3:uid="{3B4A7623-EF13-4F84-8FAF-87182029CE77}" uniqueName="35" name="Init_GPU_Mem_Start(MB)" queryTableFieldId="35" dataDxfId="153"/>
    <tableColumn id="36" xr3:uid="{0F116297-1BDD-44DC-9519-5734893FFEAB}" uniqueName="36" name="Init_GPU_Mem_End(MB)" queryTableFieldId="36" dataDxfId="152"/>
    <tableColumn id="37" xr3:uid="{2B92C141-4D11-4FAF-8CF5-328A129EC2A6}" uniqueName="37" name="Init_GPU_Mem_Delta(MB)" queryTableFieldId="37" dataDxfId="151"/>
    <tableColumn id="38" xr3:uid="{BBF5A6B1-95BC-4004-AE30-6073F348FD17}" uniqueName="38" name="Load_GPU_Mem_Start(MB)" queryTableFieldId="38" dataDxfId="150"/>
    <tableColumn id="39" xr3:uid="{3C5E322B-FECE-4AE3-B19F-DDCD5FE0B1C3}" uniqueName="39" name="Load_GPU_Mem_End(MB)" queryTableFieldId="39" dataDxfId="149"/>
    <tableColumn id="40" xr3:uid="{0F45C93D-46F8-4902-B869-0951A3EAA652}" uniqueName="40" name="Load_GPU_Mem_Delta(MB)" queryTableFieldId="40" dataDxfId="14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8C21780-16FA-41EC-9040-520C0E3134EE}" name="Tabela10" displayName="Tabela10" ref="A48:I62" totalsRowShown="0" headerRowDxfId="41" dataDxfId="42" headerRowBorderDxfId="52" tableBorderDxfId="53">
  <autoFilter ref="A48:I62" xr:uid="{38C21780-16FA-41EC-9040-520C0E3134EE}"/>
  <sortState xmlns:xlrd2="http://schemas.microsoft.com/office/spreadsheetml/2017/richdata2" ref="A49:I62">
    <sortCondition ref="I48:I62"/>
  </sortState>
  <tableColumns count="9">
    <tableColumn id="1" xr3:uid="{64AB6B73-F0B8-413F-BF3F-9F97D3B767AE}" name="Framework" dataDxfId="51"/>
    <tableColumn id="2" xr3:uid="{E7D33E53-14C9-4804-8757-DA48EE0FD156}" name="Backend" dataDxfId="50"/>
    <tableColumn id="3" xr3:uid="{9291DD16-26D1-4000-AA33-86AB31B0A552}" name="RSS_{Init-Start} [MB]" dataDxfId="49"/>
    <tableColumn id="4" xr3:uid="{83A927E4-B423-4FA7-964C-A4056993F115}" name="RSS_{Init-End} [MB]" dataDxfId="48"/>
    <tableColumn id="5" xr3:uid="{127D9595-7651-439A-8CF3-0EE9DD78D5BB}" name="RSS_{Load-Start} [MB]" dataDxfId="47"/>
    <tableColumn id="6" xr3:uid="{ECD7DFBA-E057-4AA3-B452-C26306D35931}" name="RSS_{Load-End} [MB]" dataDxfId="46"/>
    <tableColumn id="7" xr3:uid="{CAF39F6F-7570-43F5-AA6E-4AD3472FF8F4}" name="RSS_{Inf-Start} [MB]" dataDxfId="45"/>
    <tableColumn id="8" xr3:uid="{DDCCB3D0-2553-47D9-A001-DE63ADA9B337}" name="RSS_{Inf-End} [MB]" dataDxfId="44"/>
    <tableColumn id="9" xr3:uid="{B1D89F52-524A-4738-A34F-E70A3FCF0C95}" name="\delta_{RSS} [MB]" dataDxfId="43">
      <calculatedColumnFormula>H49-C49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C58658-4E4D-4095-B4EC-F333E0BFFD19}" name="Tabela12" displayName="Tabela12" ref="A69:I83" totalsRowShown="0" headerRowDxfId="15" dataDxfId="16" headerRowBorderDxfId="26" tableBorderDxfId="27">
  <autoFilter ref="A69:I83" xr:uid="{84C58658-4E4D-4095-B4EC-F333E0BFFD19}"/>
  <sortState xmlns:xlrd2="http://schemas.microsoft.com/office/spreadsheetml/2017/richdata2" ref="A70:I83">
    <sortCondition ref="I69:I83"/>
  </sortState>
  <tableColumns count="9">
    <tableColumn id="1" xr3:uid="{BD14A65D-9189-47D6-8D74-3FA739025A0E}" name="Framework" dataDxfId="25"/>
    <tableColumn id="2" xr3:uid="{79398472-5B80-4B56-8B6C-B250B67AEAD6}" name="Backend" dataDxfId="24"/>
    <tableColumn id="3" xr3:uid="{5AF10DEE-FCD2-4927-98A9-4198EDDC10BA}" name="VRAM_{Init-Start}[MB]" dataDxfId="23"/>
    <tableColumn id="4" xr3:uid="{B3F544B1-7F10-4AA8-8E79-B300A93E0A3A}" name="VRAM_{Init-End}[MB]" dataDxfId="22"/>
    <tableColumn id="5" xr3:uid="{8171E234-E7C0-4655-A7FD-DEDAF90D5116}" name="VRAM_{Load-Start}[MB]" dataDxfId="21"/>
    <tableColumn id="6" xr3:uid="{537C4C51-7C4C-48A4-894B-7ACA2B1CB902}" name="VRAM_{Load-End}[MB]" dataDxfId="20"/>
    <tableColumn id="7" xr3:uid="{962A1A0C-E9A7-4CE2-941F-76F94D6BC95B}" name="VRAM_{Inf-Start}[MB]" dataDxfId="19"/>
    <tableColumn id="8" xr3:uid="{9F8ABFCF-3501-4C46-BD3C-4639949BB5FB}" name="VRAM_{Inf-End}[MB]" dataDxfId="18"/>
    <tableColumn id="9" xr3:uid="{EE115CC2-AAE7-4CA0-AAAC-5CDA84334021}" name="\Delta_{VRAM} [MB]" dataDxfId="17">
      <calculatedColumnFormula>H70-C70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483E9E6-A56A-4A03-B5FE-194D359593BF}" name="vram_benchmark_results_image" displayName="vram_benchmark_results_image" ref="A1:AO15" tableType="queryTable" totalsRowShown="0">
  <autoFilter ref="A1:AO15" xr:uid="{C483E9E6-A56A-4A03-B5FE-194D359593BF}"/>
  <sortState xmlns:xlrd2="http://schemas.microsoft.com/office/spreadsheetml/2017/richdata2" ref="A2:AO15">
    <sortCondition ref="C1:C15"/>
  </sortState>
  <tableColumns count="41">
    <tableColumn id="1" xr3:uid="{9EF24B58-A1C0-4F05-9E51-E02E4A6EE518}" uniqueName="1" name="Task" queryTableFieldId="1" dataDxfId="95"/>
    <tableColumn id="2" xr3:uid="{BFA1DE07-FC1C-4999-A138-FDBFD24DEF48}" uniqueName="2" name="Framework" queryTableFieldId="2" dataDxfId="94"/>
    <tableColumn id="3" xr3:uid="{0F6203E5-5C3F-40D1-B6BF-801719505DA2}" uniqueName="3" name="Backend" queryTableFieldId="3" dataDxfId="93"/>
    <tableColumn id="4" xr3:uid="{BC719233-B7BD-489D-BB86-FE7D83AE64FB}" uniqueName="4" name="FrameworkInit(ms)" queryTableFieldId="4" dataDxfId="92"/>
    <tableColumn id="5" xr3:uid="{238A8332-9A04-4BCD-BE7A-97162A55954C}" uniqueName="5" name="ModelLoad(ms)" queryTableFieldId="5" dataDxfId="91"/>
    <tableColumn id="6" xr3:uid="{24F972BA-C548-4466-B604-C837DC3C0534}" uniqueName="6" name="AvgInference(ms)" queryTableFieldId="6" dataDxfId="90"/>
    <tableColumn id="7" xr3:uid="{DCA86F36-840F-4DF1-B99C-403028D10F74}" uniqueName="7" name="MinInference(ms)" queryTableFieldId="7" dataDxfId="89"/>
    <tableColumn id="8" xr3:uid="{B50826E5-F6F8-4D2C-A227-E22E09F336A8}" uniqueName="8" name="MaxInference(ms)" queryTableFieldId="8" dataDxfId="88"/>
    <tableColumn id="9" xr3:uid="{4F01FE40-9C3F-42FC-9D24-A04C604E5E74}" uniqueName="9" name="P95Inference(ms)" queryTableFieldId="9" dataDxfId="87"/>
    <tableColumn id="10" xr3:uid="{8AE45B7C-2761-4BC8-9EB3-D41C20FCA0AE}" uniqueName="10" name="StdevInference(ms)" queryTableFieldId="10" dataDxfId="86"/>
    <tableColumn id="11" xr3:uid="{B1EE42CC-DD04-4E86-811F-51AFFABDA0DE}" uniqueName="11" name="Init_AvgCPU(%)" queryTableFieldId="11" dataDxfId="85"/>
    <tableColumn id="12" xr3:uid="{DADC5FC7-0152-4D47-88BD-7B1FDE981618}" uniqueName="12" name="Init_PeakCPU(%)" queryTableFieldId="12" dataDxfId="84"/>
    <tableColumn id="13" xr3:uid="{5F1B0CE1-8688-4996-B3FA-F0351ED4C21A}" uniqueName="13" name="Init_AvgGPU(%)" queryTableFieldId="13" dataDxfId="83"/>
    <tableColumn id="14" xr3:uid="{18E512EF-50C5-4B27-A63C-5F66BD14B71B}" uniqueName="14" name="Init_PeakGPU(%)" queryTableFieldId="14" dataDxfId="82"/>
    <tableColumn id="15" xr3:uid="{6B283B31-5559-4050-80F8-A9942199F168}" uniqueName="15" name="Init_MemRSS_Start(MB)" queryTableFieldId="15" dataDxfId="81"/>
    <tableColumn id="16" xr3:uid="{3ED50BF0-386D-4E89-9203-57683C240BE5}" uniqueName="16" name="Init_MemRSS_End(MB)" queryTableFieldId="16" dataDxfId="80"/>
    <tableColumn id="17" xr3:uid="{A6F78E57-24B2-4CEF-8CDD-5C9D083B681D}" uniqueName="17" name="Init_MemDelta(MB)" queryTableFieldId="17" dataDxfId="79"/>
    <tableColumn id="18" xr3:uid="{1C070054-97FE-4B4C-9838-C170A2C8BEEE}" uniqueName="18" name="Init_GPU_Mem_Start(MB)" queryTableFieldId="18" dataDxfId="78"/>
    <tableColumn id="19" xr3:uid="{1BD38376-6691-4215-956C-7156E3B708B0}" uniqueName="19" name="Init_GPU_Mem_End(MB)" queryTableFieldId="19" dataDxfId="77"/>
    <tableColumn id="20" xr3:uid="{52583D4B-4933-49EF-9BC0-562D3DD10F80}" uniqueName="20" name="Init_GPU_Mem_Delta(MB)" queryTableFieldId="20" dataDxfId="76"/>
    <tableColumn id="21" xr3:uid="{97CD35B3-8783-480B-AADD-C170C3868FE7}" uniqueName="21" name="Load_AvgCPU(%)" queryTableFieldId="21" dataDxfId="75"/>
    <tableColumn id="22" xr3:uid="{C8BF9380-2F0A-4A20-91C0-76787118144E}" uniqueName="22" name="Load_PeakCPU(%)" queryTableFieldId="22" dataDxfId="74"/>
    <tableColumn id="23" xr3:uid="{8B5F2AE6-2307-4173-B59F-3277CBFD94AF}" uniqueName="23" name="Load_MemRSS_Start(MB)" queryTableFieldId="23" dataDxfId="73"/>
    <tableColumn id="24" xr3:uid="{803F4C4C-C300-4796-BA87-884C09A0890F}" uniqueName="24" name="Load_MemRSS_End(MB)" queryTableFieldId="24" dataDxfId="72"/>
    <tableColumn id="25" xr3:uid="{B72F3823-6303-495B-AE1D-F500D24C206B}" uniqueName="25" name="Load_MemDelta(MB)" queryTableFieldId="25" dataDxfId="71"/>
    <tableColumn id="26" xr3:uid="{0DB54909-201A-4035-A7C3-C7867B0F9BE8}" uniqueName="26" name="Load_GPU_Mem_Start(MB)" queryTableFieldId="26" dataDxfId="70"/>
    <tableColumn id="27" xr3:uid="{E942FA76-8464-4ED6-93C7-E54FACDED664}" uniqueName="27" name="Load_GPU_Mem_End(MB)" queryTableFieldId="27" dataDxfId="69"/>
    <tableColumn id="28" xr3:uid="{6EC76198-31BF-446E-91C1-AC7FB775155D}" uniqueName="28" name="Load_GPU_Mem_Delta(MB)" queryTableFieldId="28" dataDxfId="68"/>
    <tableColumn id="29" xr3:uid="{D1C11A8D-A514-4D9A-A312-5C3F5C9389A1}" uniqueName="29" name="Inf_AvgCPU(%)" queryTableFieldId="29" dataDxfId="67"/>
    <tableColumn id="30" xr3:uid="{78919C25-7C09-4733-AE7B-3BE6A0E26A08}" uniqueName="30" name="Inf_PeakCPU(%)" queryTableFieldId="30" dataDxfId="66"/>
    <tableColumn id="31" xr3:uid="{EB256900-CA05-475C-A232-6E1BEAE71CE9}" uniqueName="31" name="Inf_AvgGPU(%)" queryTableFieldId="31" dataDxfId="65"/>
    <tableColumn id="32" xr3:uid="{1064A129-768E-4EEC-BF7E-6B115F79554E}" uniqueName="32" name="Inf_PeakGPU(%)" queryTableFieldId="32" dataDxfId="64"/>
    <tableColumn id="33" xr3:uid="{13F9D577-623C-4901-932D-8058AA815BBD}" uniqueName="33" name="Inf_MemRSS_Start(MB)" queryTableFieldId="33" dataDxfId="63"/>
    <tableColumn id="34" xr3:uid="{D2A92D28-8A33-48CC-8DAF-AC7A98064464}" uniqueName="34" name="Inf_MemRSS_End(MB)" queryTableFieldId="34" dataDxfId="62"/>
    <tableColumn id="35" xr3:uid="{24A785F7-356C-49C8-8652-11018B77BBC8}" uniqueName="35" name="Inf_MemDelta(MB)" queryTableFieldId="35" dataDxfId="61"/>
    <tableColumn id="36" xr3:uid="{DEF07969-A6AA-420C-A98E-349CC6ECBD83}" uniqueName="36" name="Inf_GPU_Mem_Start(MB)" queryTableFieldId="36" dataDxfId="14"/>
    <tableColumn id="37" xr3:uid="{FA8B5350-36C9-44F4-BDC5-F698123ACDC4}" uniqueName="37" name="Inf_GPU_Mem_End(MB)" queryTableFieldId="37" dataDxfId="13"/>
    <tableColumn id="38" xr3:uid="{2C134644-8FB4-4DB6-AC45-D7A399150085}" uniqueName="38" name="Inf_GPU_Mem_Delta(MB)" queryTableFieldId="38" dataDxfId="60"/>
    <tableColumn id="39" xr3:uid="{92C157A4-B7BF-459A-A9D0-18763DFADE35}" uniqueName="39" name="Top1Prediction" queryTableFieldId="39" dataDxfId="59"/>
    <tableColumn id="40" xr3:uid="{3D494DD5-4EAE-4046-AF4C-7139B22A5553}" uniqueName="40" name="Top1Score(%)" queryTableFieldId="40" dataDxfId="57"/>
    <tableColumn id="41" xr3:uid="{2E82A8B0-63D2-4592-8DAE-E2EB996F16C5}" uniqueName="41" name="Error" queryTableFieldId="41" dataDxfId="58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8A34FAE-3D28-4FF0-A340-4909B07F88F9}" name="benchmark_results_text__2" displayName="benchmark_results_text__2" ref="A1:AO13" tableType="queryTable" totalsRowShown="0">
  <autoFilter ref="A1:AO13" xr:uid="{28A34FAE-3D28-4FF0-A340-4909B07F88F9}"/>
  <sortState xmlns:xlrd2="http://schemas.microsoft.com/office/spreadsheetml/2017/richdata2" ref="A2:AO13">
    <sortCondition ref="F1:F13"/>
  </sortState>
  <tableColumns count="41">
    <tableColumn id="1" xr3:uid="{0303DEDA-2045-4811-9544-71451CC8C697}" uniqueName="1" name="Task" queryTableFieldId="1" dataDxfId="251"/>
    <tableColumn id="2" xr3:uid="{839136D3-2F06-4662-A823-3434595FB2A3}" uniqueName="2" name="Framework" queryTableFieldId="2" dataDxfId="250"/>
    <tableColumn id="3" xr3:uid="{CD681E63-190C-4DBC-9D24-2E2A47FE29AE}" uniqueName="3" name="Backend" queryTableFieldId="3" dataDxfId="249"/>
    <tableColumn id="4" xr3:uid="{02C37651-FD38-4BD1-B704-2304E6A8D434}" uniqueName="4" name="FrameworkInit(ms)" queryTableFieldId="4" dataDxfId="248"/>
    <tableColumn id="5" xr3:uid="{A3FC7DB8-2C10-4A47-8DBC-EFC712A17466}" uniqueName="5" name="ModelLoad(ms)" queryTableFieldId="5" dataDxfId="247"/>
    <tableColumn id="6" xr3:uid="{C7C31AF6-AA62-44A4-B540-3F00A17C0D39}" uniqueName="6" name="AvgInference(ms)" queryTableFieldId="6" dataDxfId="246"/>
    <tableColumn id="7" xr3:uid="{A920A83E-A318-456D-94FC-935A6394BAA2}" uniqueName="7" name="MinInference(ms)" queryTableFieldId="7" dataDxfId="245"/>
    <tableColumn id="8" xr3:uid="{19FD73FC-EE06-4525-94BE-9EBE4E6BE86F}" uniqueName="8" name="MaxInference(ms)" queryTableFieldId="8" dataDxfId="244"/>
    <tableColumn id="9" xr3:uid="{2A58280C-6F6C-4F00-897F-DBEDC9ABA52A}" uniqueName="9" name="P95Inference(ms)" queryTableFieldId="9" dataDxfId="243"/>
    <tableColumn id="10" xr3:uid="{D8E8181F-3CE7-4E25-8B6F-A58E0C673460}" uniqueName="10" name="StdevInference(ms)" queryTableFieldId="10" dataDxfId="242"/>
    <tableColumn id="11" xr3:uid="{DDA53439-3A83-4C72-A5C3-5D7377ABEFE6}" uniqueName="11" name="Init_AvgCPU(%)" queryTableFieldId="11" dataDxfId="241"/>
    <tableColumn id="12" xr3:uid="{0BC3233E-A944-45E7-B30A-EEC6C46F25D3}" uniqueName="12" name="Init_PeakCPU(%)" queryTableFieldId="12" dataDxfId="240"/>
    <tableColumn id="13" xr3:uid="{40FBD5ED-27E4-47C2-96F7-5FFD39F57CA9}" uniqueName="13" name="Init_AvgGPU(%)" queryTableFieldId="13" dataDxfId="239"/>
    <tableColumn id="14" xr3:uid="{DAEDCF5A-2D6C-48DA-A849-49A8D6F148DE}" uniqueName="14" name="Init_PeakGPU(%)" queryTableFieldId="14" dataDxfId="238"/>
    <tableColumn id="15" xr3:uid="{BAEFF930-C1F0-4277-A9B2-5DAB36C58EBF}" uniqueName="15" name="Init_MemRSS_Start(MB)" queryTableFieldId="15" dataDxfId="237"/>
    <tableColumn id="16" xr3:uid="{7D9B5729-8886-4FA5-9E86-E14254F7EFA1}" uniqueName="16" name="Init_MemRSS_End(MB)" queryTableFieldId="16" dataDxfId="236"/>
    <tableColumn id="17" xr3:uid="{12DAA5D9-EFB8-4618-BD25-642233DEC701}" uniqueName="17" name="Init_MemDelta(MB)" queryTableFieldId="17" dataDxfId="235"/>
    <tableColumn id="18" xr3:uid="{80C4A2B4-E99A-46F1-B5BE-94A128D853B8}" uniqueName="18" name="Load_AvgCPU(%)" queryTableFieldId="18" dataDxfId="234"/>
    <tableColumn id="19" xr3:uid="{A982D3C3-A027-4E8C-92CD-0100984CA91F}" uniqueName="19" name="Load_PeakCPU(%)" queryTableFieldId="19" dataDxfId="233"/>
    <tableColumn id="20" xr3:uid="{B2477F18-10B4-4D95-96B2-3C6A8542C147}" uniqueName="20" name="Load_MemRSS_Start(MB)" queryTableFieldId="20" dataDxfId="232"/>
    <tableColumn id="21" xr3:uid="{B5B4D7D5-AAE3-432A-9CF0-14624A35C4D5}" uniqueName="21" name="Load_MemRSS_End(MB)" queryTableFieldId="21" dataDxfId="231"/>
    <tableColumn id="22" xr3:uid="{798C1B16-87A5-4DE0-BA07-726F767C7B79}" uniqueName="22" name="Load_MemDelta(MB)" queryTableFieldId="22" dataDxfId="230"/>
    <tableColumn id="23" xr3:uid="{7493D179-8F8B-4BC5-8ADF-4A3D8343C450}" uniqueName="23" name="Inf_AvgCPU(%)" queryTableFieldId="23" dataDxfId="229"/>
    <tableColumn id="24" xr3:uid="{AF4C4E0C-8AF4-4826-9680-8E3485236B84}" uniqueName="24" name="Inf_PeakCPU(%)" queryTableFieldId="24" dataDxfId="228"/>
    <tableColumn id="25" xr3:uid="{504E5DDD-19EE-40D3-BE17-06A0DF87C7AE}" uniqueName="25" name="Inf_AvgGPU(%)" queryTableFieldId="25" dataDxfId="227"/>
    <tableColumn id="26" xr3:uid="{4492656A-BFAB-4344-A3B9-826FC75BBA5B}" uniqueName="26" name="Inf_PeakGPU(%)" queryTableFieldId="26" dataDxfId="226"/>
    <tableColumn id="27" xr3:uid="{3228DC97-0F86-4483-A1C1-7C6F3B5BD0B3}" uniqueName="27" name="Inf_MemRSS_Start(MB)" queryTableFieldId="27" dataDxfId="225"/>
    <tableColumn id="28" xr3:uid="{17686ACA-0315-4A3A-A56D-F6191791F6E3}" uniqueName="28" name="Inf_MemRSS_End(MB)" queryTableFieldId="28" dataDxfId="224"/>
    <tableColumn id="29" xr3:uid="{BE7B72B8-6182-4A44-8375-CA83FE60EE5B}" uniqueName="29" name="Inf_MemDelta(MB)" queryTableFieldId="29" dataDxfId="100"/>
    <tableColumn id="30" xr3:uid="{63DCE7B5-FCED-4156-B0DB-D8F7708FBB27}" uniqueName="30" name="Inf_GPU_Mem_Start(MB)" queryTableFieldId="30" dataDxfId="99"/>
    <tableColumn id="31" xr3:uid="{7CF04CEB-97E1-4E78-8EE5-624EDF63ED9A}" uniqueName="31" name="Inf_GPU_Mem_End(MB)" queryTableFieldId="31" dataDxfId="98"/>
    <tableColumn id="32" xr3:uid="{C59BEA01-4DCA-444C-8F6F-48014B98B3BE}" uniqueName="32" name="Inf_GPU_Mem_Delta(MB)" queryTableFieldId="32" dataDxfId="96"/>
    <tableColumn id="33" xr3:uid="{41F31022-BBF8-4A11-8544-FAAD7360DFA7}" uniqueName="33" name="Top1Prediction" queryTableFieldId="33" dataDxfId="97"/>
    <tableColumn id="34" xr3:uid="{1D18D4F8-DA67-4D08-9610-45F9B805C282}" uniqueName="34" name="Top1Score(%)" queryTableFieldId="34" dataDxfId="223"/>
    <tableColumn id="35" xr3:uid="{79E947F6-DB5D-4C84-85F1-E53C7B577DB6}" uniqueName="35" name="Error" queryTableFieldId="35" dataDxfId="222"/>
    <tableColumn id="36" xr3:uid="{CF3924E9-C000-4723-B0AE-946720265568}" uniqueName="36" name="Init_GPU_Mem_Start(MB)" queryTableFieldId="36" dataDxfId="106"/>
    <tableColumn id="37" xr3:uid="{77FE0F50-F313-41D4-A644-A832C32AE168}" uniqueName="37" name="Init_GPU_Mem_End(MB)" queryTableFieldId="37" dataDxfId="105"/>
    <tableColumn id="38" xr3:uid="{ABA6882D-2738-421D-BA00-2725A77DA960}" uniqueName="38" name="Init_GPU_Mem_Delta(MB)" queryTableFieldId="38" dataDxfId="104"/>
    <tableColumn id="39" xr3:uid="{3CF75F82-9FED-4060-871A-5393BD4767F3}" uniqueName="39" name=" " queryTableFieldId="39" dataDxfId="103"/>
    <tableColumn id="40" xr3:uid="{186BAEEC-ECB2-4049-B137-BDE8811BE08D}" uniqueName="40" name="Load_GPU_Mem_End(MB)" queryTableFieldId="40" dataDxfId="102"/>
    <tableColumn id="41" xr3:uid="{6B0DBF12-893D-4F7C-91CC-BFA80AECE3EC}" uniqueName="41" name="Load_GPU_Mem_Delta(MB)" queryTableFieldId="41" dataDxfId="101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BC7786D-EED2-4713-8B74-1E666FABCCC7}" name="Tabela11" displayName="Tabela11" ref="A46:I58" totalsRowShown="0" headerRowDxfId="28" dataDxfId="29" headerRowBorderDxfId="39" tableBorderDxfId="40">
  <autoFilter ref="A46:I58" xr:uid="{BBC7786D-EED2-4713-8B74-1E666FABCCC7}"/>
  <sortState xmlns:xlrd2="http://schemas.microsoft.com/office/spreadsheetml/2017/richdata2" ref="A47:I58">
    <sortCondition ref="I46:I58"/>
  </sortState>
  <tableColumns count="9">
    <tableColumn id="1" xr3:uid="{D5262B01-69AA-48AB-9ECB-2810B4E3BB85}" name="Framework" dataDxfId="38"/>
    <tableColumn id="2" xr3:uid="{EAD18C00-FDC5-4A52-B5F9-2451D7EBC8CA}" name="Backend" dataDxfId="37"/>
    <tableColumn id="3" xr3:uid="{58ECF4F9-F563-434A-91C6-E6A6B335ACBC}" name="RSS_{Init-Start} [MB]" dataDxfId="36"/>
    <tableColumn id="4" xr3:uid="{F986D76F-63EF-4104-9F8D-13C7F0B2A34E}" name="RSS_{Init-End} [MB]" dataDxfId="35"/>
    <tableColumn id="5" xr3:uid="{66311DBA-3FA3-497A-A28E-05DAEA3023CB}" name="RSS_{Load-Start} [MB]" dataDxfId="34"/>
    <tableColumn id="6" xr3:uid="{65F31228-3841-4FE4-B13F-EBF8BF1697B5}" name="RSS_{Load-End} [MB]" dataDxfId="33"/>
    <tableColumn id="7" xr3:uid="{06F2C664-46AD-4C2E-BE97-110B31EF2676}" name="RSS_{Inf-Start} [MB]" dataDxfId="32"/>
    <tableColumn id="8" xr3:uid="{36CAB870-42A4-4D6B-B286-F85818510876}" name="RSS_{Inf-End} [MB]" dataDxfId="31"/>
    <tableColumn id="9" xr3:uid="{8486581A-AC29-4A43-A3CE-0ADD0F16310E}" name="\delta_{RSS} [MB]" dataDxfId="30">
      <calculatedColumnFormula>H47-C47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25A0B05-F80D-4938-8EB6-669D576CCB80}" name="Tabela13" displayName="Tabela13" ref="A67:I79" totalsRowShown="0" headerRowDxfId="0" dataDxfId="1" headerRowBorderDxfId="11" tableBorderDxfId="12">
  <autoFilter ref="A67:I79" xr:uid="{025A0B05-F80D-4938-8EB6-669D576CCB80}"/>
  <sortState xmlns:xlrd2="http://schemas.microsoft.com/office/spreadsheetml/2017/richdata2" ref="A68:I79">
    <sortCondition ref="I67:I79"/>
  </sortState>
  <tableColumns count="9">
    <tableColumn id="1" xr3:uid="{F26BA78D-880F-4FAA-85F3-FB663C726D3E}" name="Framework" dataDxfId="10"/>
    <tableColumn id="2" xr3:uid="{D6BCEF1C-B346-4079-A417-D5C641563B17}" name="Backend" dataDxfId="9"/>
    <tableColumn id="3" xr3:uid="{3C61E3C3-91AC-4270-B1B4-3C4627F415E1}" name="VRAM_{Init-Start}[MB]" dataDxfId="8"/>
    <tableColumn id="4" xr3:uid="{34AB9F41-7796-4B00-BC60-B6A122471CDB}" name="VRAM_{Init-End}[MB]" dataDxfId="7"/>
    <tableColumn id="5" xr3:uid="{1A04C864-3CAD-4901-AA41-D413545D9295}" name="VRAM_{Load-Start}[MB]" dataDxfId="6"/>
    <tableColumn id="6" xr3:uid="{A6F769AC-E09F-4873-876E-7481639BCDA9}" name="VRAM_{Load-End}[MB]" dataDxfId="5"/>
    <tableColumn id="7" xr3:uid="{983F9796-997E-4678-92C6-D37694DC5BF0}" name="VRAM_{Inf-Start}[MB]" dataDxfId="4"/>
    <tableColumn id="8" xr3:uid="{1220ACAE-C611-4B40-82E7-84DAC7FC6742}" name="VRAM_{Inf-End}[MB]" dataDxfId="3"/>
    <tableColumn id="9" xr3:uid="{40CC8EE4-0AAA-4D94-ADC1-0958FBE682E9}" name="\Delta_{VRAM} [MB]" dataDxfId="2">
      <calculatedColumnFormula>H68-C68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DA297ED-992C-4AEA-AE79-BDF4CE158087}" name="benchmark_results_text__3" displayName="benchmark_results_text__3" ref="A1:AO13" tableType="queryTable" totalsRowShown="0">
  <autoFilter ref="A1:AO13" xr:uid="{DDA297ED-992C-4AEA-AE79-BDF4CE158087}"/>
  <sortState xmlns:xlrd2="http://schemas.microsoft.com/office/spreadsheetml/2017/richdata2" ref="A2:AO13">
    <sortCondition ref="C1:C13"/>
  </sortState>
  <tableColumns count="41">
    <tableColumn id="1" xr3:uid="{C58F65C9-8557-4B7F-ACE1-FD0564B882FB}" uniqueName="1" name="Task" queryTableFieldId="1" dataDxfId="147"/>
    <tableColumn id="2" xr3:uid="{1434E0EC-6104-493C-A496-189B35086451}" uniqueName="2" name="Framework" queryTableFieldId="2" dataDxfId="146"/>
    <tableColumn id="3" xr3:uid="{24F61F42-1891-4F06-808A-3925E2E55215}" uniqueName="3" name="Backend" queryTableFieldId="3" dataDxfId="145"/>
    <tableColumn id="4" xr3:uid="{6EFC8D27-3AC8-4D61-BA98-FA034F3BC32C}" uniqueName="4" name="FrameworkInit(ms)" queryTableFieldId="4" dataDxfId="144"/>
    <tableColumn id="5" xr3:uid="{CD9C7D20-BE0C-4AE9-BE5B-681703D66E71}" uniqueName="5" name="ModelLoad(ms)" queryTableFieldId="5" dataDxfId="143"/>
    <tableColumn id="6" xr3:uid="{F45BEED9-24FB-40DB-A290-7DFD69D94C1A}" uniqueName="6" name="AvgInference(ms)" queryTableFieldId="6" dataDxfId="142"/>
    <tableColumn id="7" xr3:uid="{662AD1D1-C5DE-44B3-B59D-0A985B500195}" uniqueName="7" name="MinInference(ms)" queryTableFieldId="7" dataDxfId="141"/>
    <tableColumn id="8" xr3:uid="{57158B7B-E0B8-4F2C-86AF-1FBA885E6057}" uniqueName="8" name="MaxInference(ms)" queryTableFieldId="8" dataDxfId="140"/>
    <tableColumn id="9" xr3:uid="{A35A46FC-EE2E-4657-B2AD-EFD7924A7AED}" uniqueName="9" name="P95Inference(ms)" queryTableFieldId="9" dataDxfId="139"/>
    <tableColumn id="10" xr3:uid="{12679DB8-9B70-4F90-BE61-20F82DD00AFC}" uniqueName="10" name="StdevInference(ms)" queryTableFieldId="10" dataDxfId="138"/>
    <tableColumn id="11" xr3:uid="{A3E006E0-2657-4A44-8C00-AD793F84DCA7}" uniqueName="11" name="Init_AvgCPU(%)" queryTableFieldId="11" dataDxfId="137"/>
    <tableColumn id="12" xr3:uid="{0BFA29C4-11A1-4B4B-B745-C5ABFAC6729E}" uniqueName="12" name="Init_PeakCPU(%)" queryTableFieldId="12" dataDxfId="136"/>
    <tableColumn id="13" xr3:uid="{9F0B05ED-FF99-4042-B814-325A84F533A0}" uniqueName="13" name="Init_AvgGPU(%)" queryTableFieldId="13" dataDxfId="135"/>
    <tableColumn id="14" xr3:uid="{3FB0B63C-CD82-4C56-91A6-606E1B29E0DC}" uniqueName="14" name="Init_PeakGPU(%)" queryTableFieldId="14" dataDxfId="134"/>
    <tableColumn id="15" xr3:uid="{699A166E-5794-4010-8192-4AD5E93ECCA0}" uniqueName="15" name="Init_MemRSS_Start(MB)" queryTableFieldId="15" dataDxfId="133"/>
    <tableColumn id="16" xr3:uid="{06594388-79D9-4DEF-9DCE-DAD1CA23F780}" uniqueName="16" name="Init_MemRSS_End(MB)" queryTableFieldId="16" dataDxfId="132"/>
    <tableColumn id="17" xr3:uid="{C6FFA499-F10C-4117-9352-0C4C2DD37E27}" uniqueName="17" name="Init_MemDelta(MB)" queryTableFieldId="17" dataDxfId="131"/>
    <tableColumn id="18" xr3:uid="{691C0F2B-E8B7-49B3-9102-DD60A96570E5}" uniqueName="18" name="Init_GPU_Mem_Start(MB)" queryTableFieldId="18" dataDxfId="130"/>
    <tableColumn id="19" xr3:uid="{3AF9D692-2454-4C7D-ADD5-6FC397823AFF}" uniqueName="19" name="Init_GPU_Mem_End(MB)" queryTableFieldId="19" dataDxfId="129"/>
    <tableColumn id="20" xr3:uid="{18B0EED7-A65F-4E62-ABE7-0CDA652E15E0}" uniqueName="20" name="Init_GPU_Mem_Delta(MB)" queryTableFieldId="20" dataDxfId="128"/>
    <tableColumn id="21" xr3:uid="{B6EBB8B7-B392-4055-A803-A51D406C4181}" uniqueName="21" name="Load_AvgCPU(%)" queryTableFieldId="21" dataDxfId="127"/>
    <tableColumn id="22" xr3:uid="{6DDF428F-0300-4EED-9907-D048878F4467}" uniqueName="22" name="Load_PeakCPU(%)" queryTableFieldId="22" dataDxfId="126"/>
    <tableColumn id="23" xr3:uid="{4E3EAC85-F2E9-4AA9-8D2B-7F3C06FA71E2}" uniqueName="23" name="Load_MemRSS_Start(MB)" queryTableFieldId="23" dataDxfId="125"/>
    <tableColumn id="24" xr3:uid="{A3B13059-536B-458C-98AB-8D26D32F3804}" uniqueName="24" name="Load_MemRSS_End(MB)" queryTableFieldId="24" dataDxfId="124"/>
    <tableColumn id="25" xr3:uid="{2A46EE4B-3DC7-4B31-9BE7-8227F243DA0C}" uniqueName="25" name="Load_MemDelta(MB)" queryTableFieldId="25" dataDxfId="123"/>
    <tableColumn id="26" xr3:uid="{AFE2EB48-E8AC-4641-8254-34642548D181}" uniqueName="26" name="Load_GPU_Mem_Start(MB)" queryTableFieldId="26" dataDxfId="122"/>
    <tableColumn id="27" xr3:uid="{36B7FB2F-DE56-4D99-AFCA-3385D159A0CA}" uniqueName="27" name="Load_GPU_Mem_End(MB)" queryTableFieldId="27" dataDxfId="121"/>
    <tableColumn id="28" xr3:uid="{18BFA9E9-7578-4903-AAD9-10B3184BDBE4}" uniqueName="28" name="Load_GPU_Mem_Delta(MB)" queryTableFieldId="28" dataDxfId="120"/>
    <tableColumn id="29" xr3:uid="{17E2581A-08AC-49A1-9283-A07E847FBEA3}" uniqueName="29" name="Inf_AvgCPU(%)" queryTableFieldId="29" dataDxfId="119"/>
    <tableColumn id="30" xr3:uid="{71F7254F-D9F4-4395-A5C4-17FDD758B6A0}" uniqueName="30" name="Inf_PeakCPU(%)" queryTableFieldId="30" dataDxfId="118"/>
    <tableColumn id="31" xr3:uid="{0C7FF8F9-732F-4AD8-81EA-38A7C5BE6F26}" uniqueName="31" name="Inf_AvgGPU(%)" queryTableFieldId="31" dataDxfId="117"/>
    <tableColumn id="32" xr3:uid="{17BD0E7E-024B-4CB2-85E5-7A77301AA859}" uniqueName="32" name="Inf_PeakGPU(%)" queryTableFieldId="32" dataDxfId="116"/>
    <tableColumn id="33" xr3:uid="{E5AE5925-858E-45B0-90E4-E8476CCE5EBC}" uniqueName="33" name="Inf_MemRSS_Start(MB)" queryTableFieldId="33" dataDxfId="115"/>
    <tableColumn id="34" xr3:uid="{60BF528C-A557-496A-8CC1-121BFCCFFE80}" uniqueName="34" name="Inf_MemRSS_End(MB)" queryTableFieldId="34" dataDxfId="114"/>
    <tableColumn id="35" xr3:uid="{6A1692DF-7E21-444D-B7C5-0E17E7DCBAA9}" uniqueName="35" name="Inf_MemDelta(MB)" queryTableFieldId="35" dataDxfId="113"/>
    <tableColumn id="36" xr3:uid="{957B0653-5EBD-4B66-850F-7D1A2D8FCE03}" uniqueName="36" name="Inf_GPU_Mem_Start(MB)" queryTableFieldId="36" dataDxfId="112"/>
    <tableColumn id="37" xr3:uid="{833414B5-266E-4C67-8441-CF5003807F97}" uniqueName="37" name="Inf_GPU_Mem_End(MB)" queryTableFieldId="37" dataDxfId="111"/>
    <tableColumn id="38" xr3:uid="{4C823BB0-7FDA-4B58-A68D-726D31A3608B}" uniqueName="38" name="Inf_GPU_Mem_Delta(MB)" queryTableFieldId="38" dataDxfId="110"/>
    <tableColumn id="39" xr3:uid="{15A773B4-E95C-4678-A1AB-14163F9E9787}" uniqueName="39" name="Top1Prediction" queryTableFieldId="39" dataDxfId="109"/>
    <tableColumn id="40" xr3:uid="{9F3ACE43-9429-4C9D-AE1C-0457C699F8BF}" uniqueName="40" name="Top1Score(%)" queryTableFieldId="40" dataDxfId="108"/>
    <tableColumn id="41" xr3:uid="{7B1BB0EF-DF9F-4B66-BDD5-1096E5BBB4F8}" uniqueName="41" name="Error" queryTableFieldId="41" dataDxfId="10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1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C1966-F767-4590-B345-8A5E25EE139D}">
  <dimension ref="A1:V141"/>
  <sheetViews>
    <sheetView zoomScale="85" zoomScaleNormal="85" workbookViewId="0">
      <selection activeCell="J2" sqref="J2"/>
    </sheetView>
  </sheetViews>
  <sheetFormatPr defaultRowHeight="15" x14ac:dyDescent="0.25"/>
  <cols>
    <col min="1" max="1" width="18.85546875" bestFit="1" customWidth="1"/>
    <col min="2" max="2" width="14" bestFit="1" customWidth="1"/>
    <col min="3" max="3" width="18.85546875" bestFit="1" customWidth="1"/>
    <col min="4" max="4" width="11" bestFit="1" customWidth="1"/>
    <col min="5" max="5" width="20.5703125" bestFit="1" customWidth="1"/>
    <col min="6" max="6" width="17.42578125" bestFit="1" customWidth="1"/>
    <col min="7" max="7" width="16" bestFit="1" customWidth="1"/>
    <col min="8" max="8" width="11.7109375" bestFit="1" customWidth="1"/>
    <col min="9" max="9" width="17.42578125" bestFit="1" customWidth="1"/>
    <col min="10" max="10" width="18.42578125" bestFit="1" customWidth="1"/>
    <col min="11" max="11" width="17.7109375" bestFit="1" customWidth="1"/>
    <col min="12" max="12" width="18.7109375" bestFit="1" customWidth="1"/>
    <col min="13" max="13" width="16.85546875" bestFit="1" customWidth="1"/>
    <col min="14" max="14" width="17.85546875" bestFit="1" customWidth="1"/>
    <col min="15" max="15" width="17.140625" bestFit="1" customWidth="1"/>
    <col min="16" max="16" width="18.140625" bestFit="1" customWidth="1"/>
    <col min="17" max="17" width="24.5703125" bestFit="1" customWidth="1"/>
    <col min="18" max="18" width="23.7109375" bestFit="1" customWidth="1"/>
    <col min="19" max="19" width="20.85546875" bestFit="1" customWidth="1"/>
    <col min="20" max="20" width="26.42578125" bestFit="1" customWidth="1"/>
    <col min="21" max="21" width="25.5703125" bestFit="1" customWidth="1"/>
    <col min="22" max="22" width="27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23</v>
      </c>
      <c r="C2" t="s">
        <v>24</v>
      </c>
      <c r="D2">
        <v>1</v>
      </c>
      <c r="E2" t="s">
        <v>25</v>
      </c>
      <c r="F2" t="s">
        <v>26</v>
      </c>
      <c r="G2" t="s">
        <v>27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36</v>
      </c>
      <c r="V2" t="s">
        <v>37</v>
      </c>
    </row>
    <row r="3" spans="1:22" x14ac:dyDescent="0.25">
      <c r="A3" t="s">
        <v>22</v>
      </c>
      <c r="B3" t="s">
        <v>23</v>
      </c>
      <c r="C3" t="s">
        <v>24</v>
      </c>
      <c r="D3">
        <v>2</v>
      </c>
      <c r="E3" t="s">
        <v>25</v>
      </c>
      <c r="F3" t="s">
        <v>26</v>
      </c>
      <c r="G3" t="s">
        <v>38</v>
      </c>
      <c r="H3" t="s">
        <v>38</v>
      </c>
      <c r="I3" t="s">
        <v>28</v>
      </c>
      <c r="J3" t="s">
        <v>29</v>
      </c>
      <c r="K3" t="s">
        <v>30</v>
      </c>
      <c r="L3" t="s">
        <v>31</v>
      </c>
      <c r="M3" t="s">
        <v>28</v>
      </c>
      <c r="N3" t="s">
        <v>29</v>
      </c>
      <c r="O3" t="s">
        <v>30</v>
      </c>
      <c r="P3" t="s">
        <v>31</v>
      </c>
      <c r="Q3" t="s">
        <v>32</v>
      </c>
      <c r="R3" t="s">
        <v>33</v>
      </c>
      <c r="S3" t="s">
        <v>34</v>
      </c>
      <c r="T3" t="s">
        <v>35</v>
      </c>
      <c r="U3" t="s">
        <v>36</v>
      </c>
      <c r="V3" t="s">
        <v>37</v>
      </c>
    </row>
    <row r="4" spans="1:22" x14ac:dyDescent="0.25">
      <c r="A4" t="s">
        <v>22</v>
      </c>
      <c r="B4" t="s">
        <v>23</v>
      </c>
      <c r="C4" t="s">
        <v>24</v>
      </c>
      <c r="D4">
        <v>3</v>
      </c>
      <c r="E4" t="s">
        <v>25</v>
      </c>
      <c r="F4" t="s">
        <v>26</v>
      </c>
      <c r="G4" t="s">
        <v>39</v>
      </c>
      <c r="H4" t="s">
        <v>39</v>
      </c>
      <c r="I4" t="s">
        <v>28</v>
      </c>
      <c r="J4" t="s">
        <v>29</v>
      </c>
      <c r="K4" t="s">
        <v>30</v>
      </c>
      <c r="L4" t="s">
        <v>31</v>
      </c>
      <c r="M4" t="s">
        <v>28</v>
      </c>
      <c r="N4" t="s">
        <v>29</v>
      </c>
      <c r="O4" t="s">
        <v>30</v>
      </c>
      <c r="P4" t="s">
        <v>31</v>
      </c>
      <c r="Q4" t="s">
        <v>32</v>
      </c>
      <c r="R4" t="s">
        <v>33</v>
      </c>
      <c r="S4" t="s">
        <v>34</v>
      </c>
      <c r="T4" t="s">
        <v>35</v>
      </c>
      <c r="U4" t="s">
        <v>36</v>
      </c>
      <c r="V4" t="s">
        <v>37</v>
      </c>
    </row>
    <row r="5" spans="1:22" x14ac:dyDescent="0.25">
      <c r="A5" t="s">
        <v>22</v>
      </c>
      <c r="B5" t="s">
        <v>23</v>
      </c>
      <c r="C5" t="s">
        <v>24</v>
      </c>
      <c r="D5">
        <v>4</v>
      </c>
      <c r="E5" t="s">
        <v>25</v>
      </c>
      <c r="F5" t="s">
        <v>26</v>
      </c>
      <c r="G5" t="s">
        <v>40</v>
      </c>
      <c r="H5" t="s">
        <v>40</v>
      </c>
      <c r="I5" t="s">
        <v>28</v>
      </c>
      <c r="J5" t="s">
        <v>29</v>
      </c>
      <c r="K5" t="s">
        <v>30</v>
      </c>
      <c r="L5" t="s">
        <v>31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 t="s">
        <v>33</v>
      </c>
      <c r="S5" t="s">
        <v>34</v>
      </c>
      <c r="T5" t="s">
        <v>35</v>
      </c>
      <c r="U5" t="s">
        <v>36</v>
      </c>
      <c r="V5" t="s">
        <v>37</v>
      </c>
    </row>
    <row r="6" spans="1:22" x14ac:dyDescent="0.25">
      <c r="A6" t="s">
        <v>22</v>
      </c>
      <c r="B6" t="s">
        <v>23</v>
      </c>
      <c r="C6" t="s">
        <v>24</v>
      </c>
      <c r="D6">
        <v>5</v>
      </c>
      <c r="E6" t="s">
        <v>25</v>
      </c>
      <c r="F6" t="s">
        <v>26</v>
      </c>
      <c r="G6" t="s">
        <v>41</v>
      </c>
      <c r="H6" t="s">
        <v>41</v>
      </c>
      <c r="I6" t="s">
        <v>28</v>
      </c>
      <c r="J6" t="s">
        <v>29</v>
      </c>
      <c r="K6" t="s">
        <v>30</v>
      </c>
      <c r="L6" t="s">
        <v>31</v>
      </c>
      <c r="M6" t="s">
        <v>28</v>
      </c>
      <c r="N6" t="s">
        <v>29</v>
      </c>
      <c r="O6" t="s">
        <v>30</v>
      </c>
      <c r="P6" t="s">
        <v>31</v>
      </c>
      <c r="Q6" t="s">
        <v>32</v>
      </c>
      <c r="R6" t="s">
        <v>33</v>
      </c>
      <c r="S6" t="s">
        <v>34</v>
      </c>
      <c r="T6" t="s">
        <v>35</v>
      </c>
      <c r="U6" t="s">
        <v>36</v>
      </c>
      <c r="V6" t="s">
        <v>37</v>
      </c>
    </row>
    <row r="7" spans="1:22" x14ac:dyDescent="0.25">
      <c r="A7" t="s">
        <v>22</v>
      </c>
      <c r="B7" t="s">
        <v>23</v>
      </c>
      <c r="C7" t="s">
        <v>24</v>
      </c>
      <c r="D7">
        <v>6</v>
      </c>
      <c r="E7" t="s">
        <v>25</v>
      </c>
      <c r="F7" t="s">
        <v>26</v>
      </c>
      <c r="G7" t="s">
        <v>42</v>
      </c>
      <c r="H7" t="s">
        <v>42</v>
      </c>
      <c r="I7" t="s">
        <v>28</v>
      </c>
      <c r="J7" t="s">
        <v>29</v>
      </c>
      <c r="K7" t="s">
        <v>30</v>
      </c>
      <c r="L7" t="s">
        <v>31</v>
      </c>
      <c r="M7" t="s">
        <v>28</v>
      </c>
      <c r="N7" t="s">
        <v>29</v>
      </c>
      <c r="O7" t="s">
        <v>30</v>
      </c>
      <c r="P7" t="s">
        <v>31</v>
      </c>
      <c r="Q7" t="s">
        <v>32</v>
      </c>
      <c r="R7" t="s">
        <v>33</v>
      </c>
      <c r="S7" t="s">
        <v>34</v>
      </c>
      <c r="T7" t="s">
        <v>35</v>
      </c>
      <c r="U7" t="s">
        <v>36</v>
      </c>
      <c r="V7" t="s">
        <v>37</v>
      </c>
    </row>
    <row r="8" spans="1:22" x14ac:dyDescent="0.25">
      <c r="A8" t="s">
        <v>22</v>
      </c>
      <c r="B8" t="s">
        <v>23</v>
      </c>
      <c r="C8" t="s">
        <v>24</v>
      </c>
      <c r="D8">
        <v>7</v>
      </c>
      <c r="E8" t="s">
        <v>25</v>
      </c>
      <c r="F8" t="s">
        <v>26</v>
      </c>
      <c r="G8" t="s">
        <v>43</v>
      </c>
      <c r="H8" t="s">
        <v>43</v>
      </c>
      <c r="I8" t="s">
        <v>28</v>
      </c>
      <c r="J8" t="s">
        <v>29</v>
      </c>
      <c r="K8" t="s">
        <v>30</v>
      </c>
      <c r="L8" t="s">
        <v>31</v>
      </c>
      <c r="M8" t="s">
        <v>28</v>
      </c>
      <c r="N8" t="s">
        <v>29</v>
      </c>
      <c r="O8" t="s">
        <v>30</v>
      </c>
      <c r="P8" t="s">
        <v>31</v>
      </c>
      <c r="Q8" t="s">
        <v>32</v>
      </c>
      <c r="R8" t="s">
        <v>33</v>
      </c>
      <c r="S8" t="s">
        <v>34</v>
      </c>
      <c r="T8" t="s">
        <v>35</v>
      </c>
      <c r="U8" t="s">
        <v>36</v>
      </c>
      <c r="V8" t="s">
        <v>37</v>
      </c>
    </row>
    <row r="9" spans="1:22" x14ac:dyDescent="0.25">
      <c r="A9" t="s">
        <v>22</v>
      </c>
      <c r="B9" t="s">
        <v>23</v>
      </c>
      <c r="C9" t="s">
        <v>24</v>
      </c>
      <c r="D9">
        <v>8</v>
      </c>
      <c r="E9" t="s">
        <v>25</v>
      </c>
      <c r="F9" t="s">
        <v>26</v>
      </c>
      <c r="G9" t="s">
        <v>44</v>
      </c>
      <c r="H9" t="s">
        <v>44</v>
      </c>
      <c r="I9" t="s">
        <v>28</v>
      </c>
      <c r="J9" t="s">
        <v>29</v>
      </c>
      <c r="K9" t="s">
        <v>30</v>
      </c>
      <c r="L9" t="s">
        <v>31</v>
      </c>
      <c r="M9" t="s">
        <v>28</v>
      </c>
      <c r="N9" t="s">
        <v>29</v>
      </c>
      <c r="O9" t="s">
        <v>30</v>
      </c>
      <c r="P9" t="s">
        <v>31</v>
      </c>
      <c r="Q9" t="s">
        <v>32</v>
      </c>
      <c r="R9" t="s">
        <v>33</v>
      </c>
      <c r="S9" t="s">
        <v>34</v>
      </c>
      <c r="T9" t="s">
        <v>35</v>
      </c>
      <c r="U9" t="s">
        <v>36</v>
      </c>
      <c r="V9" t="s">
        <v>37</v>
      </c>
    </row>
    <row r="10" spans="1:22" x14ac:dyDescent="0.25">
      <c r="A10" t="s">
        <v>22</v>
      </c>
      <c r="B10" t="s">
        <v>23</v>
      </c>
      <c r="C10" t="s">
        <v>24</v>
      </c>
      <c r="D10">
        <v>9</v>
      </c>
      <c r="E10" t="s">
        <v>25</v>
      </c>
      <c r="F10" t="s">
        <v>26</v>
      </c>
      <c r="G10" t="s">
        <v>45</v>
      </c>
      <c r="H10" t="s">
        <v>45</v>
      </c>
      <c r="I10" t="s">
        <v>28</v>
      </c>
      <c r="J10" t="s">
        <v>29</v>
      </c>
      <c r="K10" t="s">
        <v>30</v>
      </c>
      <c r="L10" t="s">
        <v>31</v>
      </c>
      <c r="M10" t="s">
        <v>28</v>
      </c>
      <c r="N10" t="s">
        <v>29</v>
      </c>
      <c r="O10" t="s">
        <v>30</v>
      </c>
      <c r="P10" t="s">
        <v>31</v>
      </c>
      <c r="Q10" t="s">
        <v>32</v>
      </c>
      <c r="R10" t="s">
        <v>33</v>
      </c>
      <c r="S10" t="s">
        <v>34</v>
      </c>
      <c r="T10" t="s">
        <v>35</v>
      </c>
      <c r="U10" t="s">
        <v>36</v>
      </c>
      <c r="V10" t="s">
        <v>37</v>
      </c>
    </row>
    <row r="11" spans="1:22" x14ac:dyDescent="0.25">
      <c r="A11" t="s">
        <v>22</v>
      </c>
      <c r="B11" t="s">
        <v>23</v>
      </c>
      <c r="C11" t="s">
        <v>24</v>
      </c>
      <c r="D11">
        <v>10</v>
      </c>
      <c r="E11" t="s">
        <v>25</v>
      </c>
      <c r="F11" t="s">
        <v>26</v>
      </c>
      <c r="G11" t="s">
        <v>46</v>
      </c>
      <c r="H11" t="s">
        <v>46</v>
      </c>
      <c r="I11" t="s">
        <v>47</v>
      </c>
      <c r="J11" t="s">
        <v>47</v>
      </c>
      <c r="K11" t="s">
        <v>37</v>
      </c>
      <c r="L11" t="s">
        <v>37</v>
      </c>
      <c r="M11" t="s">
        <v>47</v>
      </c>
      <c r="N11" t="s">
        <v>47</v>
      </c>
      <c r="O11" t="s">
        <v>37</v>
      </c>
      <c r="P11" t="s">
        <v>37</v>
      </c>
      <c r="Q11" t="s">
        <v>48</v>
      </c>
      <c r="R11" t="s">
        <v>48</v>
      </c>
      <c r="S11" t="s">
        <v>49</v>
      </c>
      <c r="T11" t="s">
        <v>36</v>
      </c>
      <c r="U11" t="s">
        <v>36</v>
      </c>
      <c r="V11" t="s">
        <v>49</v>
      </c>
    </row>
    <row r="12" spans="1:22" x14ac:dyDescent="0.25">
      <c r="A12" t="s">
        <v>22</v>
      </c>
      <c r="B12" t="s">
        <v>23</v>
      </c>
      <c r="C12" t="s">
        <v>50</v>
      </c>
      <c r="D12">
        <v>1</v>
      </c>
      <c r="E12" t="s">
        <v>51</v>
      </c>
      <c r="F12" t="s">
        <v>52</v>
      </c>
      <c r="G12" t="s">
        <v>53</v>
      </c>
      <c r="H12" t="s">
        <v>53</v>
      </c>
      <c r="I12" t="s">
        <v>54</v>
      </c>
      <c r="J12" t="s">
        <v>55</v>
      </c>
      <c r="K12" t="s">
        <v>56</v>
      </c>
      <c r="L12" t="s">
        <v>57</v>
      </c>
      <c r="M12" t="s">
        <v>54</v>
      </c>
      <c r="N12" t="s">
        <v>55</v>
      </c>
      <c r="O12" t="s">
        <v>56</v>
      </c>
      <c r="P12" t="s">
        <v>57</v>
      </c>
      <c r="Q12" t="s">
        <v>58</v>
      </c>
      <c r="R12" t="s">
        <v>59</v>
      </c>
      <c r="S12" t="s">
        <v>60</v>
      </c>
      <c r="T12" t="s">
        <v>36</v>
      </c>
      <c r="U12" t="s">
        <v>61</v>
      </c>
      <c r="V12" t="s">
        <v>62</v>
      </c>
    </row>
    <row r="13" spans="1:22" x14ac:dyDescent="0.25">
      <c r="A13" t="s">
        <v>22</v>
      </c>
      <c r="B13" t="s">
        <v>23</v>
      </c>
      <c r="C13" t="s">
        <v>50</v>
      </c>
      <c r="D13">
        <v>2</v>
      </c>
      <c r="E13" t="s">
        <v>51</v>
      </c>
      <c r="F13" t="s">
        <v>52</v>
      </c>
      <c r="G13" t="s">
        <v>63</v>
      </c>
      <c r="H13" t="s">
        <v>63</v>
      </c>
      <c r="I13" t="s">
        <v>54</v>
      </c>
      <c r="J13" t="s">
        <v>55</v>
      </c>
      <c r="K13" t="s">
        <v>56</v>
      </c>
      <c r="L13" t="s">
        <v>57</v>
      </c>
      <c r="M13" t="s">
        <v>54</v>
      </c>
      <c r="N13" t="s">
        <v>55</v>
      </c>
      <c r="O13" t="s">
        <v>56</v>
      </c>
      <c r="P13" t="s">
        <v>57</v>
      </c>
      <c r="Q13" t="s">
        <v>58</v>
      </c>
      <c r="R13" t="s">
        <v>59</v>
      </c>
      <c r="S13" t="s">
        <v>60</v>
      </c>
      <c r="T13" t="s">
        <v>36</v>
      </c>
      <c r="U13" t="s">
        <v>61</v>
      </c>
      <c r="V13" t="s">
        <v>62</v>
      </c>
    </row>
    <row r="14" spans="1:22" x14ac:dyDescent="0.25">
      <c r="A14" t="s">
        <v>22</v>
      </c>
      <c r="B14" t="s">
        <v>23</v>
      </c>
      <c r="C14" t="s">
        <v>50</v>
      </c>
      <c r="D14">
        <v>3</v>
      </c>
      <c r="E14" t="s">
        <v>51</v>
      </c>
      <c r="F14" t="s">
        <v>52</v>
      </c>
      <c r="G14" t="s">
        <v>64</v>
      </c>
      <c r="H14" t="s">
        <v>64</v>
      </c>
      <c r="I14" t="s">
        <v>54</v>
      </c>
      <c r="J14" t="s">
        <v>55</v>
      </c>
      <c r="K14" t="s">
        <v>56</v>
      </c>
      <c r="L14" t="s">
        <v>57</v>
      </c>
      <c r="M14" t="s">
        <v>54</v>
      </c>
      <c r="N14" t="s">
        <v>55</v>
      </c>
      <c r="O14" t="s">
        <v>56</v>
      </c>
      <c r="P14" t="s">
        <v>57</v>
      </c>
      <c r="Q14" t="s">
        <v>58</v>
      </c>
      <c r="R14" t="s">
        <v>59</v>
      </c>
      <c r="S14" t="s">
        <v>60</v>
      </c>
      <c r="T14" t="s">
        <v>36</v>
      </c>
      <c r="U14" t="s">
        <v>61</v>
      </c>
      <c r="V14" t="s">
        <v>62</v>
      </c>
    </row>
    <row r="15" spans="1:22" x14ac:dyDescent="0.25">
      <c r="A15" t="s">
        <v>22</v>
      </c>
      <c r="B15" t="s">
        <v>23</v>
      </c>
      <c r="C15" t="s">
        <v>50</v>
      </c>
      <c r="D15">
        <v>4</v>
      </c>
      <c r="E15" t="s">
        <v>51</v>
      </c>
      <c r="F15" t="s">
        <v>52</v>
      </c>
      <c r="G15" t="s">
        <v>65</v>
      </c>
      <c r="H15" t="s">
        <v>65</v>
      </c>
      <c r="I15" t="s">
        <v>54</v>
      </c>
      <c r="J15" t="s">
        <v>55</v>
      </c>
      <c r="K15" t="s">
        <v>56</v>
      </c>
      <c r="L15" t="s">
        <v>57</v>
      </c>
      <c r="M15" t="s">
        <v>54</v>
      </c>
      <c r="N15" t="s">
        <v>55</v>
      </c>
      <c r="O15" t="s">
        <v>56</v>
      </c>
      <c r="P15" t="s">
        <v>57</v>
      </c>
      <c r="Q15" t="s">
        <v>58</v>
      </c>
      <c r="R15" t="s">
        <v>59</v>
      </c>
      <c r="S15" t="s">
        <v>60</v>
      </c>
      <c r="T15" t="s">
        <v>36</v>
      </c>
      <c r="U15" t="s">
        <v>61</v>
      </c>
      <c r="V15" t="s">
        <v>62</v>
      </c>
    </row>
    <row r="16" spans="1:22" x14ac:dyDescent="0.25">
      <c r="A16" t="s">
        <v>22</v>
      </c>
      <c r="B16" t="s">
        <v>23</v>
      </c>
      <c r="C16" t="s">
        <v>50</v>
      </c>
      <c r="D16">
        <v>5</v>
      </c>
      <c r="E16" t="s">
        <v>51</v>
      </c>
      <c r="F16" t="s">
        <v>52</v>
      </c>
      <c r="G16" t="s">
        <v>66</v>
      </c>
      <c r="H16" t="s">
        <v>66</v>
      </c>
      <c r="I16" t="s">
        <v>54</v>
      </c>
      <c r="J16" t="s">
        <v>55</v>
      </c>
      <c r="K16" t="s">
        <v>56</v>
      </c>
      <c r="L16" t="s">
        <v>57</v>
      </c>
      <c r="M16" t="s">
        <v>54</v>
      </c>
      <c r="N16" t="s">
        <v>55</v>
      </c>
      <c r="O16" t="s">
        <v>56</v>
      </c>
      <c r="P16" t="s">
        <v>57</v>
      </c>
      <c r="Q16" t="s">
        <v>58</v>
      </c>
      <c r="R16" t="s">
        <v>59</v>
      </c>
      <c r="S16" t="s">
        <v>60</v>
      </c>
      <c r="T16" t="s">
        <v>36</v>
      </c>
      <c r="U16" t="s">
        <v>61</v>
      </c>
      <c r="V16" t="s">
        <v>62</v>
      </c>
    </row>
    <row r="17" spans="1:22" x14ac:dyDescent="0.25">
      <c r="A17" t="s">
        <v>22</v>
      </c>
      <c r="B17" t="s">
        <v>23</v>
      </c>
      <c r="C17" t="s">
        <v>50</v>
      </c>
      <c r="D17">
        <v>6</v>
      </c>
      <c r="E17" t="s">
        <v>51</v>
      </c>
      <c r="F17" t="s">
        <v>52</v>
      </c>
      <c r="G17" t="s">
        <v>67</v>
      </c>
      <c r="H17" t="s">
        <v>67</v>
      </c>
      <c r="I17" t="s">
        <v>54</v>
      </c>
      <c r="J17" t="s">
        <v>55</v>
      </c>
      <c r="K17" t="s">
        <v>56</v>
      </c>
      <c r="L17" t="s">
        <v>57</v>
      </c>
      <c r="M17" t="s">
        <v>54</v>
      </c>
      <c r="N17" t="s">
        <v>55</v>
      </c>
      <c r="O17" t="s">
        <v>56</v>
      </c>
      <c r="P17" t="s">
        <v>57</v>
      </c>
      <c r="Q17" t="s">
        <v>58</v>
      </c>
      <c r="R17" t="s">
        <v>59</v>
      </c>
      <c r="S17" t="s">
        <v>60</v>
      </c>
      <c r="T17" t="s">
        <v>36</v>
      </c>
      <c r="U17" t="s">
        <v>61</v>
      </c>
      <c r="V17" t="s">
        <v>62</v>
      </c>
    </row>
    <row r="18" spans="1:22" x14ac:dyDescent="0.25">
      <c r="A18" t="s">
        <v>22</v>
      </c>
      <c r="B18" t="s">
        <v>23</v>
      </c>
      <c r="C18" t="s">
        <v>50</v>
      </c>
      <c r="D18">
        <v>7</v>
      </c>
      <c r="E18" t="s">
        <v>51</v>
      </c>
      <c r="F18" t="s">
        <v>52</v>
      </c>
      <c r="G18" t="s">
        <v>68</v>
      </c>
      <c r="H18" t="s">
        <v>68</v>
      </c>
      <c r="I18" t="s">
        <v>54</v>
      </c>
      <c r="J18" t="s">
        <v>55</v>
      </c>
      <c r="K18" t="s">
        <v>56</v>
      </c>
      <c r="L18" t="s">
        <v>57</v>
      </c>
      <c r="M18" t="s">
        <v>54</v>
      </c>
      <c r="N18" t="s">
        <v>55</v>
      </c>
      <c r="O18" t="s">
        <v>56</v>
      </c>
      <c r="P18" t="s">
        <v>57</v>
      </c>
      <c r="Q18" t="s">
        <v>58</v>
      </c>
      <c r="R18" t="s">
        <v>59</v>
      </c>
      <c r="S18" t="s">
        <v>60</v>
      </c>
      <c r="T18" t="s">
        <v>36</v>
      </c>
      <c r="U18" t="s">
        <v>61</v>
      </c>
      <c r="V18" t="s">
        <v>62</v>
      </c>
    </row>
    <row r="19" spans="1:22" x14ac:dyDescent="0.25">
      <c r="A19" t="s">
        <v>22</v>
      </c>
      <c r="B19" t="s">
        <v>23</v>
      </c>
      <c r="C19" t="s">
        <v>50</v>
      </c>
      <c r="D19">
        <v>8</v>
      </c>
      <c r="E19" t="s">
        <v>51</v>
      </c>
      <c r="F19" t="s">
        <v>52</v>
      </c>
      <c r="G19" t="s">
        <v>69</v>
      </c>
      <c r="H19" t="s">
        <v>69</v>
      </c>
      <c r="I19" t="s">
        <v>54</v>
      </c>
      <c r="J19" t="s">
        <v>55</v>
      </c>
      <c r="K19" t="s">
        <v>56</v>
      </c>
      <c r="L19" t="s">
        <v>57</v>
      </c>
      <c r="M19" t="s">
        <v>54</v>
      </c>
      <c r="N19" t="s">
        <v>55</v>
      </c>
      <c r="O19" t="s">
        <v>56</v>
      </c>
      <c r="P19" t="s">
        <v>57</v>
      </c>
      <c r="Q19" t="s">
        <v>58</v>
      </c>
      <c r="R19" t="s">
        <v>59</v>
      </c>
      <c r="S19" t="s">
        <v>60</v>
      </c>
      <c r="T19" t="s">
        <v>36</v>
      </c>
      <c r="U19" t="s">
        <v>61</v>
      </c>
      <c r="V19" t="s">
        <v>62</v>
      </c>
    </row>
    <row r="20" spans="1:22" x14ac:dyDescent="0.25">
      <c r="A20" t="s">
        <v>22</v>
      </c>
      <c r="B20" t="s">
        <v>23</v>
      </c>
      <c r="C20" t="s">
        <v>50</v>
      </c>
      <c r="D20">
        <v>9</v>
      </c>
      <c r="E20" t="s">
        <v>51</v>
      </c>
      <c r="F20" t="s">
        <v>52</v>
      </c>
      <c r="G20" t="s">
        <v>70</v>
      </c>
      <c r="H20" t="s">
        <v>70</v>
      </c>
      <c r="I20" t="s">
        <v>54</v>
      </c>
      <c r="J20" t="s">
        <v>55</v>
      </c>
      <c r="K20" t="s">
        <v>56</v>
      </c>
      <c r="L20" t="s">
        <v>57</v>
      </c>
      <c r="M20" t="s">
        <v>54</v>
      </c>
      <c r="N20" t="s">
        <v>55</v>
      </c>
      <c r="O20" t="s">
        <v>56</v>
      </c>
      <c r="P20" t="s">
        <v>57</v>
      </c>
      <c r="Q20" t="s">
        <v>58</v>
      </c>
      <c r="R20" t="s">
        <v>59</v>
      </c>
      <c r="S20" t="s">
        <v>60</v>
      </c>
      <c r="T20" t="s">
        <v>36</v>
      </c>
      <c r="U20" t="s">
        <v>61</v>
      </c>
      <c r="V20" t="s">
        <v>62</v>
      </c>
    </row>
    <row r="21" spans="1:22" x14ac:dyDescent="0.25">
      <c r="A21" t="s">
        <v>22</v>
      </c>
      <c r="B21" t="s">
        <v>23</v>
      </c>
      <c r="C21" t="s">
        <v>50</v>
      </c>
      <c r="D21">
        <v>10</v>
      </c>
      <c r="E21" t="s">
        <v>51</v>
      </c>
      <c r="F21" t="s">
        <v>52</v>
      </c>
      <c r="G21" t="s">
        <v>71</v>
      </c>
      <c r="H21" t="s">
        <v>71</v>
      </c>
      <c r="I21" t="s">
        <v>49</v>
      </c>
      <c r="J21" t="s">
        <v>49</v>
      </c>
      <c r="K21" t="s">
        <v>57</v>
      </c>
      <c r="L21" t="s">
        <v>57</v>
      </c>
      <c r="M21" t="s">
        <v>49</v>
      </c>
      <c r="N21" t="s">
        <v>49</v>
      </c>
      <c r="O21" t="s">
        <v>57</v>
      </c>
      <c r="P21" t="s">
        <v>57</v>
      </c>
      <c r="Q21" t="s">
        <v>72</v>
      </c>
      <c r="R21" t="s">
        <v>73</v>
      </c>
      <c r="S21" t="s">
        <v>74</v>
      </c>
      <c r="T21" t="s">
        <v>61</v>
      </c>
      <c r="U21" t="s">
        <v>61</v>
      </c>
      <c r="V21" t="s">
        <v>49</v>
      </c>
    </row>
    <row r="22" spans="1:22" x14ac:dyDescent="0.25">
      <c r="A22" t="s">
        <v>22</v>
      </c>
      <c r="B22" t="s">
        <v>23</v>
      </c>
      <c r="C22" t="s">
        <v>75</v>
      </c>
      <c r="D22">
        <v>1</v>
      </c>
      <c r="E22" t="s">
        <v>76</v>
      </c>
      <c r="F22" t="s">
        <v>77</v>
      </c>
      <c r="G22" t="s">
        <v>78</v>
      </c>
      <c r="H22" t="s">
        <v>78</v>
      </c>
      <c r="I22" t="s">
        <v>79</v>
      </c>
      <c r="J22" t="s">
        <v>80</v>
      </c>
      <c r="K22" t="s">
        <v>81</v>
      </c>
      <c r="L22" t="s">
        <v>82</v>
      </c>
      <c r="M22" t="s">
        <v>79</v>
      </c>
      <c r="N22" t="s">
        <v>80</v>
      </c>
      <c r="O22" t="s">
        <v>81</v>
      </c>
      <c r="P22" t="s">
        <v>82</v>
      </c>
      <c r="Q22" t="s">
        <v>83</v>
      </c>
      <c r="R22" t="s">
        <v>84</v>
      </c>
      <c r="S22" t="s">
        <v>85</v>
      </c>
      <c r="T22" t="s">
        <v>86</v>
      </c>
      <c r="U22" t="s">
        <v>87</v>
      </c>
      <c r="V22" t="s">
        <v>88</v>
      </c>
    </row>
    <row r="23" spans="1:22" x14ac:dyDescent="0.25">
      <c r="A23" t="s">
        <v>22</v>
      </c>
      <c r="B23" t="s">
        <v>23</v>
      </c>
      <c r="C23" t="s">
        <v>75</v>
      </c>
      <c r="D23">
        <v>2</v>
      </c>
      <c r="E23" t="s">
        <v>76</v>
      </c>
      <c r="F23" t="s">
        <v>77</v>
      </c>
      <c r="G23" t="s">
        <v>89</v>
      </c>
      <c r="H23" t="s">
        <v>89</v>
      </c>
      <c r="I23" t="s">
        <v>90</v>
      </c>
      <c r="J23" t="s">
        <v>91</v>
      </c>
      <c r="K23" t="s">
        <v>92</v>
      </c>
      <c r="L23" t="s">
        <v>31</v>
      </c>
      <c r="M23" t="s">
        <v>90</v>
      </c>
      <c r="N23" t="s">
        <v>91</v>
      </c>
      <c r="O23" t="s">
        <v>92</v>
      </c>
      <c r="P23" t="s">
        <v>31</v>
      </c>
      <c r="Q23" t="s">
        <v>93</v>
      </c>
      <c r="R23" t="s">
        <v>94</v>
      </c>
      <c r="S23" t="s">
        <v>95</v>
      </c>
      <c r="T23" t="s">
        <v>96</v>
      </c>
      <c r="U23" t="s">
        <v>97</v>
      </c>
      <c r="V23" t="s">
        <v>98</v>
      </c>
    </row>
    <row r="24" spans="1:22" x14ac:dyDescent="0.25">
      <c r="A24" t="s">
        <v>22</v>
      </c>
      <c r="B24" t="s">
        <v>23</v>
      </c>
      <c r="C24" t="s">
        <v>75</v>
      </c>
      <c r="D24">
        <v>3</v>
      </c>
      <c r="E24" t="s">
        <v>76</v>
      </c>
      <c r="F24" t="s">
        <v>77</v>
      </c>
      <c r="G24" t="s">
        <v>99</v>
      </c>
      <c r="H24" t="s">
        <v>99</v>
      </c>
      <c r="I24" t="s">
        <v>79</v>
      </c>
      <c r="J24" t="s">
        <v>80</v>
      </c>
      <c r="K24" t="s">
        <v>81</v>
      </c>
      <c r="L24" t="s">
        <v>82</v>
      </c>
      <c r="M24" t="s">
        <v>79</v>
      </c>
      <c r="N24" t="s">
        <v>80</v>
      </c>
      <c r="O24" t="s">
        <v>81</v>
      </c>
      <c r="P24" t="s">
        <v>82</v>
      </c>
      <c r="Q24" t="s">
        <v>83</v>
      </c>
      <c r="R24" t="s">
        <v>84</v>
      </c>
      <c r="S24" t="s">
        <v>85</v>
      </c>
      <c r="T24" t="s">
        <v>86</v>
      </c>
      <c r="U24" t="s">
        <v>87</v>
      </c>
      <c r="V24" t="s">
        <v>88</v>
      </c>
    </row>
    <row r="25" spans="1:22" x14ac:dyDescent="0.25">
      <c r="A25" t="s">
        <v>22</v>
      </c>
      <c r="B25" t="s">
        <v>23</v>
      </c>
      <c r="C25" t="s">
        <v>75</v>
      </c>
      <c r="D25">
        <v>4</v>
      </c>
      <c r="E25" t="s">
        <v>76</v>
      </c>
      <c r="F25" t="s">
        <v>77</v>
      </c>
      <c r="G25" t="s">
        <v>100</v>
      </c>
      <c r="H25" t="s">
        <v>100</v>
      </c>
      <c r="I25" t="s">
        <v>79</v>
      </c>
      <c r="J25" t="s">
        <v>80</v>
      </c>
      <c r="K25" t="s">
        <v>81</v>
      </c>
      <c r="L25" t="s">
        <v>82</v>
      </c>
      <c r="M25" t="s">
        <v>79</v>
      </c>
      <c r="N25" t="s">
        <v>80</v>
      </c>
      <c r="O25" t="s">
        <v>81</v>
      </c>
      <c r="P25" t="s">
        <v>82</v>
      </c>
      <c r="Q25" t="s">
        <v>83</v>
      </c>
      <c r="R25" t="s">
        <v>84</v>
      </c>
      <c r="S25" t="s">
        <v>85</v>
      </c>
      <c r="T25" t="s">
        <v>86</v>
      </c>
      <c r="U25" t="s">
        <v>87</v>
      </c>
      <c r="V25" t="s">
        <v>88</v>
      </c>
    </row>
    <row r="26" spans="1:22" x14ac:dyDescent="0.25">
      <c r="A26" t="s">
        <v>22</v>
      </c>
      <c r="B26" t="s">
        <v>23</v>
      </c>
      <c r="C26" t="s">
        <v>75</v>
      </c>
      <c r="D26">
        <v>5</v>
      </c>
      <c r="E26" t="s">
        <v>76</v>
      </c>
      <c r="F26" t="s">
        <v>77</v>
      </c>
      <c r="G26" t="s">
        <v>101</v>
      </c>
      <c r="H26" t="s">
        <v>101</v>
      </c>
      <c r="I26" t="s">
        <v>79</v>
      </c>
      <c r="J26" t="s">
        <v>80</v>
      </c>
      <c r="K26" t="s">
        <v>81</v>
      </c>
      <c r="L26" t="s">
        <v>82</v>
      </c>
      <c r="M26" t="s">
        <v>79</v>
      </c>
      <c r="N26" t="s">
        <v>80</v>
      </c>
      <c r="O26" t="s">
        <v>81</v>
      </c>
      <c r="P26" t="s">
        <v>82</v>
      </c>
      <c r="Q26" t="s">
        <v>83</v>
      </c>
      <c r="R26" t="s">
        <v>84</v>
      </c>
      <c r="S26" t="s">
        <v>85</v>
      </c>
      <c r="T26" t="s">
        <v>86</v>
      </c>
      <c r="U26" t="s">
        <v>87</v>
      </c>
      <c r="V26" t="s">
        <v>88</v>
      </c>
    </row>
    <row r="27" spans="1:22" x14ac:dyDescent="0.25">
      <c r="A27" t="s">
        <v>22</v>
      </c>
      <c r="B27" t="s">
        <v>23</v>
      </c>
      <c r="C27" t="s">
        <v>75</v>
      </c>
      <c r="D27">
        <v>6</v>
      </c>
      <c r="E27" t="s">
        <v>76</v>
      </c>
      <c r="F27" t="s">
        <v>77</v>
      </c>
      <c r="G27" t="s">
        <v>102</v>
      </c>
      <c r="H27" t="s">
        <v>102</v>
      </c>
      <c r="I27" t="s">
        <v>79</v>
      </c>
      <c r="J27" t="s">
        <v>80</v>
      </c>
      <c r="K27" t="s">
        <v>81</v>
      </c>
      <c r="L27" t="s">
        <v>82</v>
      </c>
      <c r="M27" t="s">
        <v>79</v>
      </c>
      <c r="N27" t="s">
        <v>80</v>
      </c>
      <c r="O27" t="s">
        <v>81</v>
      </c>
      <c r="P27" t="s">
        <v>82</v>
      </c>
      <c r="Q27" t="s">
        <v>83</v>
      </c>
      <c r="R27" t="s">
        <v>84</v>
      </c>
      <c r="S27" t="s">
        <v>85</v>
      </c>
      <c r="T27" t="s">
        <v>86</v>
      </c>
      <c r="U27" t="s">
        <v>87</v>
      </c>
      <c r="V27" t="s">
        <v>88</v>
      </c>
    </row>
    <row r="28" spans="1:22" x14ac:dyDescent="0.25">
      <c r="A28" t="s">
        <v>22</v>
      </c>
      <c r="B28" t="s">
        <v>23</v>
      </c>
      <c r="C28" t="s">
        <v>75</v>
      </c>
      <c r="D28">
        <v>7</v>
      </c>
      <c r="E28" t="s">
        <v>76</v>
      </c>
      <c r="F28" t="s">
        <v>77</v>
      </c>
      <c r="G28" t="s">
        <v>103</v>
      </c>
      <c r="H28" t="s">
        <v>103</v>
      </c>
      <c r="I28" t="s">
        <v>79</v>
      </c>
      <c r="J28" t="s">
        <v>80</v>
      </c>
      <c r="K28" t="s">
        <v>81</v>
      </c>
      <c r="L28" t="s">
        <v>82</v>
      </c>
      <c r="M28" t="s">
        <v>79</v>
      </c>
      <c r="N28" t="s">
        <v>80</v>
      </c>
      <c r="O28" t="s">
        <v>81</v>
      </c>
      <c r="P28" t="s">
        <v>82</v>
      </c>
      <c r="Q28" t="s">
        <v>83</v>
      </c>
      <c r="R28" t="s">
        <v>84</v>
      </c>
      <c r="S28" t="s">
        <v>85</v>
      </c>
      <c r="T28" t="s">
        <v>86</v>
      </c>
      <c r="U28" t="s">
        <v>87</v>
      </c>
      <c r="V28" t="s">
        <v>88</v>
      </c>
    </row>
    <row r="29" spans="1:22" x14ac:dyDescent="0.25">
      <c r="A29" t="s">
        <v>22</v>
      </c>
      <c r="B29" t="s">
        <v>23</v>
      </c>
      <c r="C29" t="s">
        <v>75</v>
      </c>
      <c r="D29">
        <v>8</v>
      </c>
      <c r="E29" t="s">
        <v>76</v>
      </c>
      <c r="F29" t="s">
        <v>77</v>
      </c>
      <c r="G29" t="s">
        <v>104</v>
      </c>
      <c r="H29" t="s">
        <v>104</v>
      </c>
      <c r="I29" t="s">
        <v>79</v>
      </c>
      <c r="J29" t="s">
        <v>80</v>
      </c>
      <c r="K29" t="s">
        <v>81</v>
      </c>
      <c r="L29" t="s">
        <v>82</v>
      </c>
      <c r="M29" t="s">
        <v>79</v>
      </c>
      <c r="N29" t="s">
        <v>80</v>
      </c>
      <c r="O29" t="s">
        <v>81</v>
      </c>
      <c r="P29" t="s">
        <v>82</v>
      </c>
      <c r="Q29" t="s">
        <v>83</v>
      </c>
      <c r="R29" t="s">
        <v>84</v>
      </c>
      <c r="S29" t="s">
        <v>85</v>
      </c>
      <c r="T29" t="s">
        <v>86</v>
      </c>
      <c r="U29" t="s">
        <v>87</v>
      </c>
      <c r="V29" t="s">
        <v>88</v>
      </c>
    </row>
    <row r="30" spans="1:22" x14ac:dyDescent="0.25">
      <c r="A30" t="s">
        <v>22</v>
      </c>
      <c r="B30" t="s">
        <v>23</v>
      </c>
      <c r="C30" t="s">
        <v>75</v>
      </c>
      <c r="D30">
        <v>9</v>
      </c>
      <c r="E30" t="s">
        <v>76</v>
      </c>
      <c r="F30" t="s">
        <v>77</v>
      </c>
      <c r="G30" t="s">
        <v>105</v>
      </c>
      <c r="H30" t="s">
        <v>105</v>
      </c>
      <c r="I30" t="s">
        <v>79</v>
      </c>
      <c r="J30" t="s">
        <v>80</v>
      </c>
      <c r="K30" t="s">
        <v>81</v>
      </c>
      <c r="L30" t="s">
        <v>82</v>
      </c>
      <c r="M30" t="s">
        <v>79</v>
      </c>
      <c r="N30" t="s">
        <v>80</v>
      </c>
      <c r="O30" t="s">
        <v>81</v>
      </c>
      <c r="P30" t="s">
        <v>82</v>
      </c>
      <c r="Q30" t="s">
        <v>83</v>
      </c>
      <c r="R30" t="s">
        <v>84</v>
      </c>
      <c r="S30" t="s">
        <v>85</v>
      </c>
      <c r="T30" t="s">
        <v>86</v>
      </c>
      <c r="U30" t="s">
        <v>87</v>
      </c>
      <c r="V30" t="s">
        <v>88</v>
      </c>
    </row>
    <row r="31" spans="1:22" x14ac:dyDescent="0.25">
      <c r="A31" t="s">
        <v>22</v>
      </c>
      <c r="B31" t="s">
        <v>23</v>
      </c>
      <c r="C31" t="s">
        <v>75</v>
      </c>
      <c r="D31">
        <v>10</v>
      </c>
      <c r="E31" t="s">
        <v>76</v>
      </c>
      <c r="F31" t="s">
        <v>77</v>
      </c>
      <c r="G31" t="s">
        <v>106</v>
      </c>
      <c r="H31" t="s">
        <v>106</v>
      </c>
      <c r="I31" t="s">
        <v>49</v>
      </c>
      <c r="J31" t="s">
        <v>49</v>
      </c>
      <c r="K31" t="s">
        <v>31</v>
      </c>
      <c r="L31" t="s">
        <v>31</v>
      </c>
      <c r="M31" t="s">
        <v>49</v>
      </c>
      <c r="N31" t="s">
        <v>49</v>
      </c>
      <c r="O31" t="s">
        <v>31</v>
      </c>
      <c r="P31" t="s">
        <v>31</v>
      </c>
      <c r="Q31" t="s">
        <v>107</v>
      </c>
      <c r="R31" t="s">
        <v>107</v>
      </c>
      <c r="S31" t="s">
        <v>49</v>
      </c>
      <c r="T31" t="s">
        <v>97</v>
      </c>
      <c r="U31" t="s">
        <v>97</v>
      </c>
      <c r="V31" t="s">
        <v>49</v>
      </c>
    </row>
    <row r="32" spans="1:22" x14ac:dyDescent="0.25">
      <c r="A32" t="s">
        <v>22</v>
      </c>
      <c r="B32" t="s">
        <v>108</v>
      </c>
      <c r="C32" t="s">
        <v>24</v>
      </c>
      <c r="D32">
        <v>1</v>
      </c>
      <c r="E32" t="s">
        <v>109</v>
      </c>
      <c r="F32" t="s">
        <v>110</v>
      </c>
      <c r="G32" t="s">
        <v>111</v>
      </c>
      <c r="H32" t="s">
        <v>111</v>
      </c>
      <c r="I32" t="s">
        <v>112</v>
      </c>
      <c r="J32" t="s">
        <v>113</v>
      </c>
      <c r="K32" t="s">
        <v>114</v>
      </c>
      <c r="L32" t="s">
        <v>31</v>
      </c>
      <c r="M32" t="s">
        <v>112</v>
      </c>
      <c r="N32" t="s">
        <v>113</v>
      </c>
      <c r="O32" t="s">
        <v>114</v>
      </c>
      <c r="P32" t="s">
        <v>31</v>
      </c>
      <c r="Q32" t="s">
        <v>115</v>
      </c>
      <c r="R32" t="s">
        <v>116</v>
      </c>
      <c r="S32" t="s">
        <v>117</v>
      </c>
      <c r="T32" t="s">
        <v>36</v>
      </c>
      <c r="U32" t="s">
        <v>118</v>
      </c>
      <c r="V32" t="s">
        <v>119</v>
      </c>
    </row>
    <row r="33" spans="1:22" x14ac:dyDescent="0.25">
      <c r="A33" t="s">
        <v>22</v>
      </c>
      <c r="B33" t="s">
        <v>108</v>
      </c>
      <c r="C33" t="s">
        <v>24</v>
      </c>
      <c r="D33">
        <v>2</v>
      </c>
      <c r="E33" t="s">
        <v>109</v>
      </c>
      <c r="F33" t="s">
        <v>110</v>
      </c>
      <c r="G33" t="s">
        <v>120</v>
      </c>
      <c r="H33" t="s">
        <v>120</v>
      </c>
      <c r="I33" t="s">
        <v>112</v>
      </c>
      <c r="J33" t="s">
        <v>113</v>
      </c>
      <c r="K33" t="s">
        <v>114</v>
      </c>
      <c r="L33" t="s">
        <v>31</v>
      </c>
      <c r="M33" t="s">
        <v>112</v>
      </c>
      <c r="N33" t="s">
        <v>113</v>
      </c>
      <c r="O33" t="s">
        <v>114</v>
      </c>
      <c r="P33" t="s">
        <v>31</v>
      </c>
      <c r="Q33" t="s">
        <v>115</v>
      </c>
      <c r="R33" t="s">
        <v>116</v>
      </c>
      <c r="S33" t="s">
        <v>117</v>
      </c>
      <c r="T33" t="s">
        <v>36</v>
      </c>
      <c r="U33" t="s">
        <v>118</v>
      </c>
      <c r="V33" t="s">
        <v>119</v>
      </c>
    </row>
    <row r="34" spans="1:22" x14ac:dyDescent="0.25">
      <c r="A34" t="s">
        <v>22</v>
      </c>
      <c r="B34" t="s">
        <v>108</v>
      </c>
      <c r="C34" t="s">
        <v>24</v>
      </c>
      <c r="D34">
        <v>3</v>
      </c>
      <c r="E34" t="s">
        <v>109</v>
      </c>
      <c r="F34" t="s">
        <v>110</v>
      </c>
      <c r="G34" t="s">
        <v>121</v>
      </c>
      <c r="H34" t="s">
        <v>121</v>
      </c>
      <c r="I34" t="s">
        <v>112</v>
      </c>
      <c r="J34" t="s">
        <v>113</v>
      </c>
      <c r="K34" t="s">
        <v>114</v>
      </c>
      <c r="L34" t="s">
        <v>31</v>
      </c>
      <c r="M34" t="s">
        <v>112</v>
      </c>
      <c r="N34" t="s">
        <v>113</v>
      </c>
      <c r="O34" t="s">
        <v>114</v>
      </c>
      <c r="P34" t="s">
        <v>31</v>
      </c>
      <c r="Q34" t="s">
        <v>115</v>
      </c>
      <c r="R34" t="s">
        <v>116</v>
      </c>
      <c r="S34" t="s">
        <v>117</v>
      </c>
      <c r="T34" t="s">
        <v>36</v>
      </c>
      <c r="U34" t="s">
        <v>118</v>
      </c>
      <c r="V34" t="s">
        <v>119</v>
      </c>
    </row>
    <row r="35" spans="1:22" x14ac:dyDescent="0.25">
      <c r="A35" t="s">
        <v>22</v>
      </c>
      <c r="B35" t="s">
        <v>108</v>
      </c>
      <c r="C35" t="s">
        <v>24</v>
      </c>
      <c r="D35">
        <v>4</v>
      </c>
      <c r="E35" t="s">
        <v>109</v>
      </c>
      <c r="F35" t="s">
        <v>110</v>
      </c>
      <c r="G35" t="s">
        <v>122</v>
      </c>
      <c r="H35" t="s">
        <v>122</v>
      </c>
      <c r="I35" t="s">
        <v>112</v>
      </c>
      <c r="J35" t="s">
        <v>113</v>
      </c>
      <c r="K35" t="s">
        <v>114</v>
      </c>
      <c r="L35" t="s">
        <v>31</v>
      </c>
      <c r="M35" t="s">
        <v>112</v>
      </c>
      <c r="N35" t="s">
        <v>113</v>
      </c>
      <c r="O35" t="s">
        <v>114</v>
      </c>
      <c r="P35" t="s">
        <v>31</v>
      </c>
      <c r="Q35" t="s">
        <v>115</v>
      </c>
      <c r="R35" t="s">
        <v>116</v>
      </c>
      <c r="S35" t="s">
        <v>117</v>
      </c>
      <c r="T35" t="s">
        <v>36</v>
      </c>
      <c r="U35" t="s">
        <v>118</v>
      </c>
      <c r="V35" t="s">
        <v>119</v>
      </c>
    </row>
    <row r="36" spans="1:22" x14ac:dyDescent="0.25">
      <c r="A36" t="s">
        <v>22</v>
      </c>
      <c r="B36" t="s">
        <v>108</v>
      </c>
      <c r="C36" t="s">
        <v>24</v>
      </c>
      <c r="D36">
        <v>5</v>
      </c>
      <c r="E36" t="s">
        <v>109</v>
      </c>
      <c r="F36" t="s">
        <v>110</v>
      </c>
      <c r="G36" t="s">
        <v>123</v>
      </c>
      <c r="H36" t="s">
        <v>123</v>
      </c>
      <c r="I36" t="s">
        <v>112</v>
      </c>
      <c r="J36" t="s">
        <v>113</v>
      </c>
      <c r="K36" t="s">
        <v>114</v>
      </c>
      <c r="L36" t="s">
        <v>31</v>
      </c>
      <c r="M36" t="s">
        <v>112</v>
      </c>
      <c r="N36" t="s">
        <v>113</v>
      </c>
      <c r="O36" t="s">
        <v>114</v>
      </c>
      <c r="P36" t="s">
        <v>31</v>
      </c>
      <c r="Q36" t="s">
        <v>115</v>
      </c>
      <c r="R36" t="s">
        <v>116</v>
      </c>
      <c r="S36" t="s">
        <v>117</v>
      </c>
      <c r="T36" t="s">
        <v>36</v>
      </c>
      <c r="U36" t="s">
        <v>118</v>
      </c>
      <c r="V36" t="s">
        <v>119</v>
      </c>
    </row>
    <row r="37" spans="1:22" x14ac:dyDescent="0.25">
      <c r="A37" t="s">
        <v>22</v>
      </c>
      <c r="B37" t="s">
        <v>108</v>
      </c>
      <c r="C37" t="s">
        <v>24</v>
      </c>
      <c r="D37">
        <v>6</v>
      </c>
      <c r="E37" t="s">
        <v>109</v>
      </c>
      <c r="F37" t="s">
        <v>110</v>
      </c>
      <c r="G37" t="s">
        <v>124</v>
      </c>
      <c r="H37" t="s">
        <v>124</v>
      </c>
      <c r="I37" t="s">
        <v>112</v>
      </c>
      <c r="J37" t="s">
        <v>113</v>
      </c>
      <c r="K37" t="s">
        <v>114</v>
      </c>
      <c r="L37" t="s">
        <v>31</v>
      </c>
      <c r="M37" t="s">
        <v>112</v>
      </c>
      <c r="N37" t="s">
        <v>113</v>
      </c>
      <c r="O37" t="s">
        <v>114</v>
      </c>
      <c r="P37" t="s">
        <v>31</v>
      </c>
      <c r="Q37" t="s">
        <v>115</v>
      </c>
      <c r="R37" t="s">
        <v>116</v>
      </c>
      <c r="S37" t="s">
        <v>117</v>
      </c>
      <c r="T37" t="s">
        <v>36</v>
      </c>
      <c r="U37" t="s">
        <v>118</v>
      </c>
      <c r="V37" t="s">
        <v>119</v>
      </c>
    </row>
    <row r="38" spans="1:22" x14ac:dyDescent="0.25">
      <c r="A38" t="s">
        <v>22</v>
      </c>
      <c r="B38" t="s">
        <v>108</v>
      </c>
      <c r="C38" t="s">
        <v>24</v>
      </c>
      <c r="D38">
        <v>7</v>
      </c>
      <c r="E38" t="s">
        <v>109</v>
      </c>
      <c r="F38" t="s">
        <v>110</v>
      </c>
      <c r="G38" t="s">
        <v>125</v>
      </c>
      <c r="H38" t="s">
        <v>125</v>
      </c>
      <c r="I38" t="s">
        <v>112</v>
      </c>
      <c r="J38" t="s">
        <v>113</v>
      </c>
      <c r="K38" t="s">
        <v>114</v>
      </c>
      <c r="L38" t="s">
        <v>31</v>
      </c>
      <c r="M38" t="s">
        <v>112</v>
      </c>
      <c r="N38" t="s">
        <v>113</v>
      </c>
      <c r="O38" t="s">
        <v>114</v>
      </c>
      <c r="P38" t="s">
        <v>31</v>
      </c>
      <c r="Q38" t="s">
        <v>115</v>
      </c>
      <c r="R38" t="s">
        <v>116</v>
      </c>
      <c r="S38" t="s">
        <v>117</v>
      </c>
      <c r="T38" t="s">
        <v>36</v>
      </c>
      <c r="U38" t="s">
        <v>118</v>
      </c>
      <c r="V38" t="s">
        <v>119</v>
      </c>
    </row>
    <row r="39" spans="1:22" x14ac:dyDescent="0.25">
      <c r="A39" t="s">
        <v>22</v>
      </c>
      <c r="B39" t="s">
        <v>108</v>
      </c>
      <c r="C39" t="s">
        <v>24</v>
      </c>
      <c r="D39">
        <v>8</v>
      </c>
      <c r="E39" t="s">
        <v>109</v>
      </c>
      <c r="F39" t="s">
        <v>110</v>
      </c>
      <c r="G39" t="s">
        <v>126</v>
      </c>
      <c r="H39" t="s">
        <v>126</v>
      </c>
      <c r="I39" t="s">
        <v>112</v>
      </c>
      <c r="J39" t="s">
        <v>113</v>
      </c>
      <c r="K39" t="s">
        <v>114</v>
      </c>
      <c r="L39" t="s">
        <v>31</v>
      </c>
      <c r="M39" t="s">
        <v>112</v>
      </c>
      <c r="N39" t="s">
        <v>113</v>
      </c>
      <c r="O39" t="s">
        <v>114</v>
      </c>
      <c r="P39" t="s">
        <v>31</v>
      </c>
      <c r="Q39" t="s">
        <v>115</v>
      </c>
      <c r="R39" t="s">
        <v>116</v>
      </c>
      <c r="S39" t="s">
        <v>117</v>
      </c>
      <c r="T39" t="s">
        <v>36</v>
      </c>
      <c r="U39" t="s">
        <v>118</v>
      </c>
      <c r="V39" t="s">
        <v>119</v>
      </c>
    </row>
    <row r="40" spans="1:22" x14ac:dyDescent="0.25">
      <c r="A40" t="s">
        <v>22</v>
      </c>
      <c r="B40" t="s">
        <v>108</v>
      </c>
      <c r="C40" t="s">
        <v>24</v>
      </c>
      <c r="D40">
        <v>9</v>
      </c>
      <c r="E40" t="s">
        <v>109</v>
      </c>
      <c r="F40" t="s">
        <v>110</v>
      </c>
      <c r="G40" t="s">
        <v>127</v>
      </c>
      <c r="H40" t="s">
        <v>127</v>
      </c>
      <c r="I40" t="s">
        <v>112</v>
      </c>
      <c r="J40" t="s">
        <v>113</v>
      </c>
      <c r="K40" t="s">
        <v>114</v>
      </c>
      <c r="L40" t="s">
        <v>31</v>
      </c>
      <c r="M40" t="s">
        <v>112</v>
      </c>
      <c r="N40" t="s">
        <v>113</v>
      </c>
      <c r="O40" t="s">
        <v>114</v>
      </c>
      <c r="P40" t="s">
        <v>31</v>
      </c>
      <c r="Q40" t="s">
        <v>115</v>
      </c>
      <c r="R40" t="s">
        <v>116</v>
      </c>
      <c r="S40" t="s">
        <v>117</v>
      </c>
      <c r="T40" t="s">
        <v>36</v>
      </c>
      <c r="U40" t="s">
        <v>118</v>
      </c>
      <c r="V40" t="s">
        <v>119</v>
      </c>
    </row>
    <row r="41" spans="1:22" x14ac:dyDescent="0.25">
      <c r="A41" t="s">
        <v>22</v>
      </c>
      <c r="B41" t="s">
        <v>108</v>
      </c>
      <c r="C41" t="s">
        <v>24</v>
      </c>
      <c r="D41">
        <v>10</v>
      </c>
      <c r="E41" t="s">
        <v>109</v>
      </c>
      <c r="F41" t="s">
        <v>110</v>
      </c>
      <c r="G41" t="s">
        <v>128</v>
      </c>
      <c r="H41" t="s">
        <v>128</v>
      </c>
      <c r="I41" t="s">
        <v>129</v>
      </c>
      <c r="J41" t="s">
        <v>129</v>
      </c>
      <c r="K41" t="s">
        <v>49</v>
      </c>
      <c r="L41" t="s">
        <v>49</v>
      </c>
      <c r="M41" t="s">
        <v>129</v>
      </c>
      <c r="N41" t="s">
        <v>129</v>
      </c>
      <c r="O41" t="s">
        <v>49</v>
      </c>
      <c r="P41" t="s">
        <v>49</v>
      </c>
      <c r="Q41" t="s">
        <v>130</v>
      </c>
      <c r="R41" t="s">
        <v>130</v>
      </c>
      <c r="S41" t="s">
        <v>49</v>
      </c>
      <c r="T41" t="s">
        <v>131</v>
      </c>
      <c r="U41" t="s">
        <v>131</v>
      </c>
      <c r="V41" t="s">
        <v>49</v>
      </c>
    </row>
    <row r="42" spans="1:22" x14ac:dyDescent="0.25">
      <c r="A42" t="s">
        <v>22</v>
      </c>
      <c r="B42" t="s">
        <v>108</v>
      </c>
      <c r="C42" t="s">
        <v>50</v>
      </c>
      <c r="D42">
        <v>1</v>
      </c>
      <c r="E42" t="s">
        <v>132</v>
      </c>
      <c r="F42" t="s">
        <v>133</v>
      </c>
      <c r="G42" t="s">
        <v>134</v>
      </c>
      <c r="H42" t="s">
        <v>134</v>
      </c>
      <c r="I42" t="s">
        <v>135</v>
      </c>
      <c r="J42" t="s">
        <v>136</v>
      </c>
      <c r="K42" t="s">
        <v>137</v>
      </c>
      <c r="L42" t="s">
        <v>82</v>
      </c>
      <c r="M42" t="s">
        <v>135</v>
      </c>
      <c r="N42" t="s">
        <v>136</v>
      </c>
      <c r="O42" t="s">
        <v>137</v>
      </c>
      <c r="P42" t="s">
        <v>82</v>
      </c>
      <c r="Q42" t="s">
        <v>138</v>
      </c>
      <c r="R42" t="s">
        <v>139</v>
      </c>
      <c r="S42" t="s">
        <v>140</v>
      </c>
      <c r="T42" t="s">
        <v>86</v>
      </c>
      <c r="U42" t="s">
        <v>97</v>
      </c>
      <c r="V42" t="s">
        <v>141</v>
      </c>
    </row>
    <row r="43" spans="1:22" x14ac:dyDescent="0.25">
      <c r="A43" t="s">
        <v>22</v>
      </c>
      <c r="B43" t="s">
        <v>108</v>
      </c>
      <c r="C43" t="s">
        <v>50</v>
      </c>
      <c r="D43">
        <v>2</v>
      </c>
      <c r="E43" t="s">
        <v>132</v>
      </c>
      <c r="F43" t="s">
        <v>133</v>
      </c>
      <c r="G43" t="s">
        <v>142</v>
      </c>
      <c r="H43" t="s">
        <v>142</v>
      </c>
      <c r="I43" t="s">
        <v>135</v>
      </c>
      <c r="J43" t="s">
        <v>136</v>
      </c>
      <c r="K43" t="s">
        <v>137</v>
      </c>
      <c r="L43" t="s">
        <v>82</v>
      </c>
      <c r="M43" t="s">
        <v>135</v>
      </c>
      <c r="N43" t="s">
        <v>136</v>
      </c>
      <c r="O43" t="s">
        <v>137</v>
      </c>
      <c r="P43" t="s">
        <v>82</v>
      </c>
      <c r="Q43" t="s">
        <v>138</v>
      </c>
      <c r="R43" t="s">
        <v>139</v>
      </c>
      <c r="S43" t="s">
        <v>140</v>
      </c>
      <c r="T43" t="s">
        <v>86</v>
      </c>
      <c r="U43" t="s">
        <v>97</v>
      </c>
      <c r="V43" t="s">
        <v>141</v>
      </c>
    </row>
    <row r="44" spans="1:22" x14ac:dyDescent="0.25">
      <c r="A44" t="s">
        <v>22</v>
      </c>
      <c r="B44" t="s">
        <v>108</v>
      </c>
      <c r="C44" t="s">
        <v>50</v>
      </c>
      <c r="D44">
        <v>3</v>
      </c>
      <c r="E44" t="s">
        <v>132</v>
      </c>
      <c r="F44" t="s">
        <v>133</v>
      </c>
      <c r="G44" t="s">
        <v>143</v>
      </c>
      <c r="H44" t="s">
        <v>143</v>
      </c>
      <c r="I44" t="s">
        <v>135</v>
      </c>
      <c r="J44" t="s">
        <v>136</v>
      </c>
      <c r="K44" t="s">
        <v>137</v>
      </c>
      <c r="L44" t="s">
        <v>82</v>
      </c>
      <c r="M44" t="s">
        <v>135</v>
      </c>
      <c r="N44" t="s">
        <v>136</v>
      </c>
      <c r="O44" t="s">
        <v>137</v>
      </c>
      <c r="P44" t="s">
        <v>82</v>
      </c>
      <c r="Q44" t="s">
        <v>138</v>
      </c>
      <c r="R44" t="s">
        <v>139</v>
      </c>
      <c r="S44" t="s">
        <v>140</v>
      </c>
      <c r="T44" t="s">
        <v>86</v>
      </c>
      <c r="U44" t="s">
        <v>97</v>
      </c>
      <c r="V44" t="s">
        <v>141</v>
      </c>
    </row>
    <row r="45" spans="1:22" x14ac:dyDescent="0.25">
      <c r="A45" t="s">
        <v>22</v>
      </c>
      <c r="B45" t="s">
        <v>108</v>
      </c>
      <c r="C45" t="s">
        <v>50</v>
      </c>
      <c r="D45">
        <v>4</v>
      </c>
      <c r="E45" t="s">
        <v>132</v>
      </c>
      <c r="F45" t="s">
        <v>133</v>
      </c>
      <c r="G45" t="s">
        <v>144</v>
      </c>
      <c r="H45" t="s">
        <v>144</v>
      </c>
      <c r="I45" t="s">
        <v>135</v>
      </c>
      <c r="J45" t="s">
        <v>136</v>
      </c>
      <c r="K45" t="s">
        <v>137</v>
      </c>
      <c r="L45" t="s">
        <v>82</v>
      </c>
      <c r="M45" t="s">
        <v>135</v>
      </c>
      <c r="N45" t="s">
        <v>136</v>
      </c>
      <c r="O45" t="s">
        <v>137</v>
      </c>
      <c r="P45" t="s">
        <v>82</v>
      </c>
      <c r="Q45" t="s">
        <v>138</v>
      </c>
      <c r="R45" t="s">
        <v>139</v>
      </c>
      <c r="S45" t="s">
        <v>140</v>
      </c>
      <c r="T45" t="s">
        <v>86</v>
      </c>
      <c r="U45" t="s">
        <v>97</v>
      </c>
      <c r="V45" t="s">
        <v>141</v>
      </c>
    </row>
    <row r="46" spans="1:22" x14ac:dyDescent="0.25">
      <c r="A46" t="s">
        <v>22</v>
      </c>
      <c r="B46" t="s">
        <v>108</v>
      </c>
      <c r="C46" t="s">
        <v>50</v>
      </c>
      <c r="D46">
        <v>5</v>
      </c>
      <c r="E46" t="s">
        <v>132</v>
      </c>
      <c r="F46" t="s">
        <v>133</v>
      </c>
      <c r="G46" t="s">
        <v>145</v>
      </c>
      <c r="H46" t="s">
        <v>145</v>
      </c>
      <c r="I46" t="s">
        <v>135</v>
      </c>
      <c r="J46" t="s">
        <v>136</v>
      </c>
      <c r="K46" t="s">
        <v>137</v>
      </c>
      <c r="L46" t="s">
        <v>82</v>
      </c>
      <c r="M46" t="s">
        <v>135</v>
      </c>
      <c r="N46" t="s">
        <v>136</v>
      </c>
      <c r="O46" t="s">
        <v>137</v>
      </c>
      <c r="P46" t="s">
        <v>82</v>
      </c>
      <c r="Q46" t="s">
        <v>138</v>
      </c>
      <c r="R46" t="s">
        <v>139</v>
      </c>
      <c r="S46" t="s">
        <v>140</v>
      </c>
      <c r="T46" t="s">
        <v>86</v>
      </c>
      <c r="U46" t="s">
        <v>97</v>
      </c>
      <c r="V46" t="s">
        <v>141</v>
      </c>
    </row>
    <row r="47" spans="1:22" x14ac:dyDescent="0.25">
      <c r="A47" t="s">
        <v>22</v>
      </c>
      <c r="B47" t="s">
        <v>108</v>
      </c>
      <c r="C47" t="s">
        <v>50</v>
      </c>
      <c r="D47">
        <v>6</v>
      </c>
      <c r="E47" t="s">
        <v>132</v>
      </c>
      <c r="F47" t="s">
        <v>133</v>
      </c>
      <c r="G47" t="s">
        <v>146</v>
      </c>
      <c r="H47" t="s">
        <v>146</v>
      </c>
      <c r="I47" t="s">
        <v>135</v>
      </c>
      <c r="J47" t="s">
        <v>136</v>
      </c>
      <c r="K47" t="s">
        <v>137</v>
      </c>
      <c r="L47" t="s">
        <v>82</v>
      </c>
      <c r="M47" t="s">
        <v>135</v>
      </c>
      <c r="N47" t="s">
        <v>136</v>
      </c>
      <c r="O47" t="s">
        <v>137</v>
      </c>
      <c r="P47" t="s">
        <v>82</v>
      </c>
      <c r="Q47" t="s">
        <v>138</v>
      </c>
      <c r="R47" t="s">
        <v>139</v>
      </c>
      <c r="S47" t="s">
        <v>140</v>
      </c>
      <c r="T47" t="s">
        <v>86</v>
      </c>
      <c r="U47" t="s">
        <v>97</v>
      </c>
      <c r="V47" t="s">
        <v>141</v>
      </c>
    </row>
    <row r="48" spans="1:22" x14ac:dyDescent="0.25">
      <c r="A48" t="s">
        <v>22</v>
      </c>
      <c r="B48" t="s">
        <v>108</v>
      </c>
      <c r="C48" t="s">
        <v>50</v>
      </c>
      <c r="D48">
        <v>7</v>
      </c>
      <c r="E48" t="s">
        <v>132</v>
      </c>
      <c r="F48" t="s">
        <v>133</v>
      </c>
      <c r="G48" t="s">
        <v>147</v>
      </c>
      <c r="H48" t="s">
        <v>147</v>
      </c>
      <c r="I48" t="s">
        <v>135</v>
      </c>
      <c r="J48" t="s">
        <v>136</v>
      </c>
      <c r="K48" t="s">
        <v>137</v>
      </c>
      <c r="L48" t="s">
        <v>82</v>
      </c>
      <c r="M48" t="s">
        <v>135</v>
      </c>
      <c r="N48" t="s">
        <v>136</v>
      </c>
      <c r="O48" t="s">
        <v>137</v>
      </c>
      <c r="P48" t="s">
        <v>82</v>
      </c>
      <c r="Q48" t="s">
        <v>138</v>
      </c>
      <c r="R48" t="s">
        <v>139</v>
      </c>
      <c r="S48" t="s">
        <v>140</v>
      </c>
      <c r="T48" t="s">
        <v>86</v>
      </c>
      <c r="U48" t="s">
        <v>97</v>
      </c>
      <c r="V48" t="s">
        <v>141</v>
      </c>
    </row>
    <row r="49" spans="1:22" x14ac:dyDescent="0.25">
      <c r="A49" t="s">
        <v>22</v>
      </c>
      <c r="B49" t="s">
        <v>108</v>
      </c>
      <c r="C49" t="s">
        <v>50</v>
      </c>
      <c r="D49">
        <v>8</v>
      </c>
      <c r="E49" t="s">
        <v>132</v>
      </c>
      <c r="F49" t="s">
        <v>133</v>
      </c>
      <c r="G49" t="s">
        <v>146</v>
      </c>
      <c r="H49" t="s">
        <v>146</v>
      </c>
      <c r="I49" t="s">
        <v>135</v>
      </c>
      <c r="J49" t="s">
        <v>136</v>
      </c>
      <c r="K49" t="s">
        <v>137</v>
      </c>
      <c r="L49" t="s">
        <v>82</v>
      </c>
      <c r="M49" t="s">
        <v>135</v>
      </c>
      <c r="N49" t="s">
        <v>136</v>
      </c>
      <c r="O49" t="s">
        <v>137</v>
      </c>
      <c r="P49" t="s">
        <v>82</v>
      </c>
      <c r="Q49" t="s">
        <v>138</v>
      </c>
      <c r="R49" t="s">
        <v>139</v>
      </c>
      <c r="S49" t="s">
        <v>140</v>
      </c>
      <c r="T49" t="s">
        <v>86</v>
      </c>
      <c r="U49" t="s">
        <v>97</v>
      </c>
      <c r="V49" t="s">
        <v>141</v>
      </c>
    </row>
    <row r="50" spans="1:22" x14ac:dyDescent="0.25">
      <c r="A50" t="s">
        <v>22</v>
      </c>
      <c r="B50" t="s">
        <v>108</v>
      </c>
      <c r="C50" t="s">
        <v>50</v>
      </c>
      <c r="D50">
        <v>9</v>
      </c>
      <c r="E50" t="s">
        <v>132</v>
      </c>
      <c r="F50" t="s">
        <v>133</v>
      </c>
      <c r="G50" t="s">
        <v>148</v>
      </c>
      <c r="H50" t="s">
        <v>148</v>
      </c>
      <c r="I50" t="s">
        <v>135</v>
      </c>
      <c r="J50" t="s">
        <v>136</v>
      </c>
      <c r="K50" t="s">
        <v>137</v>
      </c>
      <c r="L50" t="s">
        <v>82</v>
      </c>
      <c r="M50" t="s">
        <v>135</v>
      </c>
      <c r="N50" t="s">
        <v>136</v>
      </c>
      <c r="O50" t="s">
        <v>137</v>
      </c>
      <c r="P50" t="s">
        <v>82</v>
      </c>
      <c r="Q50" t="s">
        <v>138</v>
      </c>
      <c r="R50" t="s">
        <v>139</v>
      </c>
      <c r="S50" t="s">
        <v>140</v>
      </c>
      <c r="T50" t="s">
        <v>86</v>
      </c>
      <c r="U50" t="s">
        <v>97</v>
      </c>
      <c r="V50" t="s">
        <v>141</v>
      </c>
    </row>
    <row r="51" spans="1:22" x14ac:dyDescent="0.25">
      <c r="A51" t="s">
        <v>22</v>
      </c>
      <c r="B51" t="s">
        <v>108</v>
      </c>
      <c r="C51" t="s">
        <v>50</v>
      </c>
      <c r="D51">
        <v>10</v>
      </c>
      <c r="E51" t="s">
        <v>132</v>
      </c>
      <c r="F51" t="s">
        <v>133</v>
      </c>
      <c r="G51" t="s">
        <v>149</v>
      </c>
      <c r="H51" t="s">
        <v>149</v>
      </c>
      <c r="I51" t="s">
        <v>150</v>
      </c>
      <c r="J51" t="s">
        <v>150</v>
      </c>
      <c r="K51" t="s">
        <v>49</v>
      </c>
      <c r="L51" t="s">
        <v>49</v>
      </c>
      <c r="M51" t="s">
        <v>150</v>
      </c>
      <c r="N51" t="s">
        <v>150</v>
      </c>
      <c r="O51" t="s">
        <v>49</v>
      </c>
      <c r="P51" t="s">
        <v>49</v>
      </c>
      <c r="Q51" t="s">
        <v>151</v>
      </c>
      <c r="R51" t="s">
        <v>151</v>
      </c>
      <c r="S51" t="s">
        <v>49</v>
      </c>
      <c r="T51" t="s">
        <v>152</v>
      </c>
      <c r="U51" t="s">
        <v>152</v>
      </c>
      <c r="V51" t="s">
        <v>49</v>
      </c>
    </row>
    <row r="52" spans="1:22" x14ac:dyDescent="0.25">
      <c r="A52" t="s">
        <v>22</v>
      </c>
      <c r="B52" t="s">
        <v>108</v>
      </c>
      <c r="C52" t="s">
        <v>75</v>
      </c>
      <c r="D52">
        <v>1</v>
      </c>
      <c r="E52" t="s">
        <v>153</v>
      </c>
      <c r="F52" t="s">
        <v>154</v>
      </c>
      <c r="G52" t="s">
        <v>155</v>
      </c>
      <c r="H52" t="s">
        <v>155</v>
      </c>
      <c r="I52" t="s">
        <v>156</v>
      </c>
      <c r="J52" t="s">
        <v>157</v>
      </c>
      <c r="K52" t="s">
        <v>158</v>
      </c>
      <c r="L52" t="s">
        <v>82</v>
      </c>
      <c r="M52" t="s">
        <v>156</v>
      </c>
      <c r="N52" t="s">
        <v>157</v>
      </c>
      <c r="O52" t="s">
        <v>158</v>
      </c>
      <c r="P52" t="s">
        <v>82</v>
      </c>
      <c r="Q52" t="s">
        <v>159</v>
      </c>
      <c r="R52" t="s">
        <v>160</v>
      </c>
      <c r="S52" t="s">
        <v>161</v>
      </c>
      <c r="T52" t="s">
        <v>86</v>
      </c>
      <c r="U52" t="s">
        <v>162</v>
      </c>
      <c r="V52" t="s">
        <v>163</v>
      </c>
    </row>
    <row r="53" spans="1:22" x14ac:dyDescent="0.25">
      <c r="A53" t="s">
        <v>22</v>
      </c>
      <c r="B53" t="s">
        <v>108</v>
      </c>
      <c r="C53" t="s">
        <v>75</v>
      </c>
      <c r="D53">
        <v>2</v>
      </c>
      <c r="E53" t="s">
        <v>153</v>
      </c>
      <c r="F53" t="s">
        <v>154</v>
      </c>
      <c r="G53" t="s">
        <v>102</v>
      </c>
      <c r="H53" t="s">
        <v>102</v>
      </c>
      <c r="I53" t="s">
        <v>156</v>
      </c>
      <c r="J53" t="s">
        <v>157</v>
      </c>
      <c r="K53" t="s">
        <v>158</v>
      </c>
      <c r="L53" t="s">
        <v>82</v>
      </c>
      <c r="M53" t="s">
        <v>156</v>
      </c>
      <c r="N53" t="s">
        <v>157</v>
      </c>
      <c r="O53" t="s">
        <v>158</v>
      </c>
      <c r="P53" t="s">
        <v>82</v>
      </c>
      <c r="Q53" t="s">
        <v>159</v>
      </c>
      <c r="R53" t="s">
        <v>160</v>
      </c>
      <c r="S53" t="s">
        <v>161</v>
      </c>
      <c r="T53" t="s">
        <v>86</v>
      </c>
      <c r="U53" t="s">
        <v>162</v>
      </c>
      <c r="V53" t="s">
        <v>163</v>
      </c>
    </row>
    <row r="54" spans="1:22" x14ac:dyDescent="0.25">
      <c r="A54" t="s">
        <v>22</v>
      </c>
      <c r="B54" t="s">
        <v>108</v>
      </c>
      <c r="C54" t="s">
        <v>75</v>
      </c>
      <c r="D54">
        <v>3</v>
      </c>
      <c r="E54" t="s">
        <v>153</v>
      </c>
      <c r="F54" t="s">
        <v>154</v>
      </c>
      <c r="G54" t="s">
        <v>164</v>
      </c>
      <c r="H54" t="s">
        <v>164</v>
      </c>
      <c r="I54" t="s">
        <v>165</v>
      </c>
      <c r="J54" t="s">
        <v>166</v>
      </c>
      <c r="K54" t="s">
        <v>49</v>
      </c>
      <c r="L54" t="s">
        <v>49</v>
      </c>
      <c r="M54" t="s">
        <v>165</v>
      </c>
      <c r="N54" t="s">
        <v>166</v>
      </c>
      <c r="O54" t="s">
        <v>49</v>
      </c>
      <c r="P54" t="s">
        <v>49</v>
      </c>
      <c r="Q54" t="s">
        <v>167</v>
      </c>
      <c r="R54" t="s">
        <v>168</v>
      </c>
      <c r="S54" t="s">
        <v>169</v>
      </c>
      <c r="T54" t="s">
        <v>170</v>
      </c>
      <c r="U54" t="s">
        <v>170</v>
      </c>
      <c r="V54" t="s">
        <v>49</v>
      </c>
    </row>
    <row r="55" spans="1:22" x14ac:dyDescent="0.25">
      <c r="A55" t="s">
        <v>22</v>
      </c>
      <c r="B55" t="s">
        <v>108</v>
      </c>
      <c r="C55" t="s">
        <v>75</v>
      </c>
      <c r="D55">
        <v>4</v>
      </c>
      <c r="E55" t="s">
        <v>153</v>
      </c>
      <c r="F55" t="s">
        <v>154</v>
      </c>
      <c r="G55" t="s">
        <v>171</v>
      </c>
      <c r="H55" t="s">
        <v>171</v>
      </c>
      <c r="I55" t="s">
        <v>156</v>
      </c>
      <c r="J55" t="s">
        <v>157</v>
      </c>
      <c r="K55" t="s">
        <v>158</v>
      </c>
      <c r="L55" t="s">
        <v>82</v>
      </c>
      <c r="M55" t="s">
        <v>156</v>
      </c>
      <c r="N55" t="s">
        <v>157</v>
      </c>
      <c r="O55" t="s">
        <v>158</v>
      </c>
      <c r="P55" t="s">
        <v>82</v>
      </c>
      <c r="Q55" t="s">
        <v>159</v>
      </c>
      <c r="R55" t="s">
        <v>160</v>
      </c>
      <c r="S55" t="s">
        <v>161</v>
      </c>
      <c r="T55" t="s">
        <v>86</v>
      </c>
      <c r="U55" t="s">
        <v>162</v>
      </c>
      <c r="V55" t="s">
        <v>163</v>
      </c>
    </row>
    <row r="56" spans="1:22" x14ac:dyDescent="0.25">
      <c r="A56" t="s">
        <v>22</v>
      </c>
      <c r="B56" t="s">
        <v>108</v>
      </c>
      <c r="C56" t="s">
        <v>75</v>
      </c>
      <c r="D56">
        <v>5</v>
      </c>
      <c r="E56" t="s">
        <v>153</v>
      </c>
      <c r="F56" t="s">
        <v>154</v>
      </c>
      <c r="G56" t="s">
        <v>172</v>
      </c>
      <c r="H56" t="s">
        <v>172</v>
      </c>
      <c r="I56" t="s">
        <v>156</v>
      </c>
      <c r="J56" t="s">
        <v>157</v>
      </c>
      <c r="K56" t="s">
        <v>158</v>
      </c>
      <c r="L56" t="s">
        <v>82</v>
      </c>
      <c r="M56" t="s">
        <v>156</v>
      </c>
      <c r="N56" t="s">
        <v>157</v>
      </c>
      <c r="O56" t="s">
        <v>158</v>
      </c>
      <c r="P56" t="s">
        <v>82</v>
      </c>
      <c r="Q56" t="s">
        <v>159</v>
      </c>
      <c r="R56" t="s">
        <v>160</v>
      </c>
      <c r="S56" t="s">
        <v>161</v>
      </c>
      <c r="T56" t="s">
        <v>86</v>
      </c>
      <c r="U56" t="s">
        <v>162</v>
      </c>
      <c r="V56" t="s">
        <v>163</v>
      </c>
    </row>
    <row r="57" spans="1:22" x14ac:dyDescent="0.25">
      <c r="A57" t="s">
        <v>22</v>
      </c>
      <c r="B57" t="s">
        <v>108</v>
      </c>
      <c r="C57" t="s">
        <v>75</v>
      </c>
      <c r="D57">
        <v>6</v>
      </c>
      <c r="E57" t="s">
        <v>153</v>
      </c>
      <c r="F57" t="s">
        <v>154</v>
      </c>
      <c r="G57" t="s">
        <v>173</v>
      </c>
      <c r="H57" t="s">
        <v>173</v>
      </c>
      <c r="I57" t="s">
        <v>156</v>
      </c>
      <c r="J57" t="s">
        <v>157</v>
      </c>
      <c r="K57" t="s">
        <v>158</v>
      </c>
      <c r="L57" t="s">
        <v>82</v>
      </c>
      <c r="M57" t="s">
        <v>156</v>
      </c>
      <c r="N57" t="s">
        <v>157</v>
      </c>
      <c r="O57" t="s">
        <v>158</v>
      </c>
      <c r="P57" t="s">
        <v>82</v>
      </c>
      <c r="Q57" t="s">
        <v>159</v>
      </c>
      <c r="R57" t="s">
        <v>160</v>
      </c>
      <c r="S57" t="s">
        <v>161</v>
      </c>
      <c r="T57" t="s">
        <v>86</v>
      </c>
      <c r="U57" t="s">
        <v>162</v>
      </c>
      <c r="V57" t="s">
        <v>163</v>
      </c>
    </row>
    <row r="58" spans="1:22" x14ac:dyDescent="0.25">
      <c r="A58" t="s">
        <v>22</v>
      </c>
      <c r="B58" t="s">
        <v>108</v>
      </c>
      <c r="C58" t="s">
        <v>75</v>
      </c>
      <c r="D58">
        <v>7</v>
      </c>
      <c r="E58" t="s">
        <v>153</v>
      </c>
      <c r="F58" t="s">
        <v>154</v>
      </c>
      <c r="G58" t="s">
        <v>174</v>
      </c>
      <c r="H58" t="s">
        <v>174</v>
      </c>
      <c r="I58" t="s">
        <v>156</v>
      </c>
      <c r="J58" t="s">
        <v>157</v>
      </c>
      <c r="K58" t="s">
        <v>158</v>
      </c>
      <c r="L58" t="s">
        <v>82</v>
      </c>
      <c r="M58" t="s">
        <v>156</v>
      </c>
      <c r="N58" t="s">
        <v>157</v>
      </c>
      <c r="O58" t="s">
        <v>158</v>
      </c>
      <c r="P58" t="s">
        <v>82</v>
      </c>
      <c r="Q58" t="s">
        <v>159</v>
      </c>
      <c r="R58" t="s">
        <v>160</v>
      </c>
      <c r="S58" t="s">
        <v>161</v>
      </c>
      <c r="T58" t="s">
        <v>86</v>
      </c>
      <c r="U58" t="s">
        <v>162</v>
      </c>
      <c r="V58" t="s">
        <v>163</v>
      </c>
    </row>
    <row r="59" spans="1:22" x14ac:dyDescent="0.25">
      <c r="A59" t="s">
        <v>22</v>
      </c>
      <c r="B59" t="s">
        <v>108</v>
      </c>
      <c r="C59" t="s">
        <v>75</v>
      </c>
      <c r="D59">
        <v>8</v>
      </c>
      <c r="E59" t="s">
        <v>153</v>
      </c>
      <c r="F59" t="s">
        <v>154</v>
      </c>
      <c r="G59" t="s">
        <v>175</v>
      </c>
      <c r="H59" t="s">
        <v>175</v>
      </c>
      <c r="I59" t="s">
        <v>156</v>
      </c>
      <c r="J59" t="s">
        <v>157</v>
      </c>
      <c r="K59" t="s">
        <v>158</v>
      </c>
      <c r="L59" t="s">
        <v>82</v>
      </c>
      <c r="M59" t="s">
        <v>156</v>
      </c>
      <c r="N59" t="s">
        <v>157</v>
      </c>
      <c r="O59" t="s">
        <v>158</v>
      </c>
      <c r="P59" t="s">
        <v>82</v>
      </c>
      <c r="Q59" t="s">
        <v>159</v>
      </c>
      <c r="R59" t="s">
        <v>160</v>
      </c>
      <c r="S59" t="s">
        <v>161</v>
      </c>
      <c r="T59" t="s">
        <v>86</v>
      </c>
      <c r="U59" t="s">
        <v>162</v>
      </c>
      <c r="V59" t="s">
        <v>163</v>
      </c>
    </row>
    <row r="60" spans="1:22" x14ac:dyDescent="0.25">
      <c r="A60" t="s">
        <v>22</v>
      </c>
      <c r="B60" t="s">
        <v>108</v>
      </c>
      <c r="C60" t="s">
        <v>75</v>
      </c>
      <c r="D60">
        <v>9</v>
      </c>
      <c r="E60" t="s">
        <v>153</v>
      </c>
      <c r="F60" t="s">
        <v>154</v>
      </c>
      <c r="G60" t="s">
        <v>176</v>
      </c>
      <c r="H60" t="s">
        <v>176</v>
      </c>
      <c r="I60" t="s">
        <v>156</v>
      </c>
      <c r="J60" t="s">
        <v>157</v>
      </c>
      <c r="K60" t="s">
        <v>158</v>
      </c>
      <c r="L60" t="s">
        <v>82</v>
      </c>
      <c r="M60" t="s">
        <v>156</v>
      </c>
      <c r="N60" t="s">
        <v>157</v>
      </c>
      <c r="O60" t="s">
        <v>158</v>
      </c>
      <c r="P60" t="s">
        <v>82</v>
      </c>
      <c r="Q60" t="s">
        <v>159</v>
      </c>
      <c r="R60" t="s">
        <v>160</v>
      </c>
      <c r="S60" t="s">
        <v>161</v>
      </c>
      <c r="T60" t="s">
        <v>86</v>
      </c>
      <c r="U60" t="s">
        <v>162</v>
      </c>
      <c r="V60" t="s">
        <v>163</v>
      </c>
    </row>
    <row r="61" spans="1:22" x14ac:dyDescent="0.25">
      <c r="A61" t="s">
        <v>22</v>
      </c>
      <c r="B61" t="s">
        <v>108</v>
      </c>
      <c r="C61" t="s">
        <v>75</v>
      </c>
      <c r="D61">
        <v>10</v>
      </c>
      <c r="E61" t="s">
        <v>153</v>
      </c>
      <c r="F61" t="s">
        <v>154</v>
      </c>
      <c r="G61" t="s">
        <v>177</v>
      </c>
      <c r="H61" t="s">
        <v>177</v>
      </c>
      <c r="I61" t="s">
        <v>156</v>
      </c>
      <c r="J61" t="s">
        <v>157</v>
      </c>
      <c r="K61" t="s">
        <v>158</v>
      </c>
      <c r="L61" t="s">
        <v>82</v>
      </c>
      <c r="M61" t="s">
        <v>156</v>
      </c>
      <c r="N61" t="s">
        <v>157</v>
      </c>
      <c r="O61" t="s">
        <v>158</v>
      </c>
      <c r="P61" t="s">
        <v>82</v>
      </c>
      <c r="Q61" t="s">
        <v>159</v>
      </c>
      <c r="R61" t="s">
        <v>160</v>
      </c>
      <c r="S61" t="s">
        <v>161</v>
      </c>
      <c r="T61" t="s">
        <v>86</v>
      </c>
      <c r="U61" t="s">
        <v>162</v>
      </c>
      <c r="V61" t="s">
        <v>163</v>
      </c>
    </row>
    <row r="62" spans="1:22" x14ac:dyDescent="0.25">
      <c r="A62" t="s">
        <v>22</v>
      </c>
      <c r="B62" t="s">
        <v>108</v>
      </c>
      <c r="C62" t="s">
        <v>178</v>
      </c>
      <c r="D62">
        <v>1</v>
      </c>
      <c r="E62" t="s">
        <v>179</v>
      </c>
      <c r="F62" t="s">
        <v>180</v>
      </c>
      <c r="G62" t="s">
        <v>181</v>
      </c>
      <c r="H62" t="s">
        <v>181</v>
      </c>
      <c r="I62" t="s">
        <v>182</v>
      </c>
      <c r="J62" t="s">
        <v>183</v>
      </c>
      <c r="K62" t="s">
        <v>119</v>
      </c>
      <c r="L62" t="s">
        <v>82</v>
      </c>
      <c r="M62" t="s">
        <v>182</v>
      </c>
      <c r="N62" t="s">
        <v>183</v>
      </c>
      <c r="O62" t="s">
        <v>119</v>
      </c>
      <c r="P62" t="s">
        <v>82</v>
      </c>
      <c r="Q62" t="s">
        <v>184</v>
      </c>
      <c r="R62" t="s">
        <v>185</v>
      </c>
      <c r="S62" t="s">
        <v>186</v>
      </c>
      <c r="T62" t="s">
        <v>35</v>
      </c>
      <c r="U62" t="s">
        <v>35</v>
      </c>
      <c r="V62" t="s">
        <v>49</v>
      </c>
    </row>
    <row r="63" spans="1:22" x14ac:dyDescent="0.25">
      <c r="A63" t="s">
        <v>22</v>
      </c>
      <c r="B63" t="s">
        <v>108</v>
      </c>
      <c r="C63" t="s">
        <v>178</v>
      </c>
      <c r="D63">
        <v>2</v>
      </c>
      <c r="E63" t="s">
        <v>179</v>
      </c>
      <c r="F63" t="s">
        <v>180</v>
      </c>
      <c r="G63" t="s">
        <v>187</v>
      </c>
      <c r="H63" t="s">
        <v>187</v>
      </c>
      <c r="I63" t="s">
        <v>182</v>
      </c>
      <c r="J63" t="s">
        <v>183</v>
      </c>
      <c r="K63" t="s">
        <v>119</v>
      </c>
      <c r="L63" t="s">
        <v>82</v>
      </c>
      <c r="M63" t="s">
        <v>182</v>
      </c>
      <c r="N63" t="s">
        <v>183</v>
      </c>
      <c r="O63" t="s">
        <v>119</v>
      </c>
      <c r="P63" t="s">
        <v>82</v>
      </c>
      <c r="Q63" t="s">
        <v>184</v>
      </c>
      <c r="R63" t="s">
        <v>185</v>
      </c>
      <c r="S63" t="s">
        <v>186</v>
      </c>
      <c r="T63" t="s">
        <v>35</v>
      </c>
      <c r="U63" t="s">
        <v>35</v>
      </c>
      <c r="V63" t="s">
        <v>49</v>
      </c>
    </row>
    <row r="64" spans="1:22" x14ac:dyDescent="0.25">
      <c r="A64" t="s">
        <v>22</v>
      </c>
      <c r="B64" t="s">
        <v>108</v>
      </c>
      <c r="C64" t="s">
        <v>178</v>
      </c>
      <c r="D64">
        <v>3</v>
      </c>
      <c r="E64" t="s">
        <v>179</v>
      </c>
      <c r="F64" t="s">
        <v>180</v>
      </c>
      <c r="G64" t="s">
        <v>188</v>
      </c>
      <c r="H64" t="s">
        <v>188</v>
      </c>
      <c r="I64" t="s">
        <v>182</v>
      </c>
      <c r="J64" t="s">
        <v>183</v>
      </c>
      <c r="K64" t="s">
        <v>119</v>
      </c>
      <c r="L64" t="s">
        <v>82</v>
      </c>
      <c r="M64" t="s">
        <v>182</v>
      </c>
      <c r="N64" t="s">
        <v>183</v>
      </c>
      <c r="O64" t="s">
        <v>119</v>
      </c>
      <c r="P64" t="s">
        <v>82</v>
      </c>
      <c r="Q64" t="s">
        <v>184</v>
      </c>
      <c r="R64" t="s">
        <v>185</v>
      </c>
      <c r="S64" t="s">
        <v>186</v>
      </c>
      <c r="T64" t="s">
        <v>35</v>
      </c>
      <c r="U64" t="s">
        <v>35</v>
      </c>
      <c r="V64" t="s">
        <v>49</v>
      </c>
    </row>
    <row r="65" spans="1:22" x14ac:dyDescent="0.25">
      <c r="A65" t="s">
        <v>22</v>
      </c>
      <c r="B65" t="s">
        <v>108</v>
      </c>
      <c r="C65" t="s">
        <v>178</v>
      </c>
      <c r="D65">
        <v>4</v>
      </c>
      <c r="E65" t="s">
        <v>179</v>
      </c>
      <c r="F65" t="s">
        <v>180</v>
      </c>
      <c r="G65" t="s">
        <v>189</v>
      </c>
      <c r="H65" t="s">
        <v>189</v>
      </c>
      <c r="I65" t="s">
        <v>182</v>
      </c>
      <c r="J65" t="s">
        <v>183</v>
      </c>
      <c r="K65" t="s">
        <v>119</v>
      </c>
      <c r="L65" t="s">
        <v>82</v>
      </c>
      <c r="M65" t="s">
        <v>182</v>
      </c>
      <c r="N65" t="s">
        <v>183</v>
      </c>
      <c r="O65" t="s">
        <v>119</v>
      </c>
      <c r="P65" t="s">
        <v>82</v>
      </c>
      <c r="Q65" t="s">
        <v>184</v>
      </c>
      <c r="R65" t="s">
        <v>185</v>
      </c>
      <c r="S65" t="s">
        <v>186</v>
      </c>
      <c r="T65" t="s">
        <v>35</v>
      </c>
      <c r="U65" t="s">
        <v>35</v>
      </c>
      <c r="V65" t="s">
        <v>49</v>
      </c>
    </row>
    <row r="66" spans="1:22" x14ac:dyDescent="0.25">
      <c r="A66" t="s">
        <v>22</v>
      </c>
      <c r="B66" t="s">
        <v>108</v>
      </c>
      <c r="C66" t="s">
        <v>178</v>
      </c>
      <c r="D66">
        <v>5</v>
      </c>
      <c r="E66" t="s">
        <v>179</v>
      </c>
      <c r="F66" t="s">
        <v>180</v>
      </c>
      <c r="G66" t="s">
        <v>190</v>
      </c>
      <c r="H66" t="s">
        <v>190</v>
      </c>
      <c r="I66" t="s">
        <v>182</v>
      </c>
      <c r="J66" t="s">
        <v>183</v>
      </c>
      <c r="K66" t="s">
        <v>119</v>
      </c>
      <c r="L66" t="s">
        <v>82</v>
      </c>
      <c r="M66" t="s">
        <v>182</v>
      </c>
      <c r="N66" t="s">
        <v>183</v>
      </c>
      <c r="O66" t="s">
        <v>119</v>
      </c>
      <c r="P66" t="s">
        <v>82</v>
      </c>
      <c r="Q66" t="s">
        <v>184</v>
      </c>
      <c r="R66" t="s">
        <v>185</v>
      </c>
      <c r="S66" t="s">
        <v>186</v>
      </c>
      <c r="T66" t="s">
        <v>35</v>
      </c>
      <c r="U66" t="s">
        <v>35</v>
      </c>
      <c r="V66" t="s">
        <v>49</v>
      </c>
    </row>
    <row r="67" spans="1:22" x14ac:dyDescent="0.25">
      <c r="A67" t="s">
        <v>22</v>
      </c>
      <c r="B67" t="s">
        <v>108</v>
      </c>
      <c r="C67" t="s">
        <v>178</v>
      </c>
      <c r="D67">
        <v>6</v>
      </c>
      <c r="E67" t="s">
        <v>179</v>
      </c>
      <c r="F67" t="s">
        <v>180</v>
      </c>
      <c r="G67" t="s">
        <v>30</v>
      </c>
      <c r="H67" t="s">
        <v>30</v>
      </c>
      <c r="I67" t="s">
        <v>182</v>
      </c>
      <c r="J67" t="s">
        <v>183</v>
      </c>
      <c r="K67" t="s">
        <v>119</v>
      </c>
      <c r="L67" t="s">
        <v>82</v>
      </c>
      <c r="M67" t="s">
        <v>182</v>
      </c>
      <c r="N67" t="s">
        <v>183</v>
      </c>
      <c r="O67" t="s">
        <v>119</v>
      </c>
      <c r="P67" t="s">
        <v>82</v>
      </c>
      <c r="Q67" t="s">
        <v>184</v>
      </c>
      <c r="R67" t="s">
        <v>185</v>
      </c>
      <c r="S67" t="s">
        <v>186</v>
      </c>
      <c r="T67" t="s">
        <v>35</v>
      </c>
      <c r="U67" t="s">
        <v>35</v>
      </c>
      <c r="V67" t="s">
        <v>49</v>
      </c>
    </row>
    <row r="68" spans="1:22" x14ac:dyDescent="0.25">
      <c r="A68" t="s">
        <v>22</v>
      </c>
      <c r="B68" t="s">
        <v>108</v>
      </c>
      <c r="C68" t="s">
        <v>178</v>
      </c>
      <c r="D68">
        <v>7</v>
      </c>
      <c r="E68" t="s">
        <v>179</v>
      </c>
      <c r="F68" t="s">
        <v>180</v>
      </c>
      <c r="G68" t="s">
        <v>191</v>
      </c>
      <c r="H68" t="s">
        <v>191</v>
      </c>
      <c r="I68" t="s">
        <v>182</v>
      </c>
      <c r="J68" t="s">
        <v>183</v>
      </c>
      <c r="K68" t="s">
        <v>119</v>
      </c>
      <c r="L68" t="s">
        <v>82</v>
      </c>
      <c r="M68" t="s">
        <v>182</v>
      </c>
      <c r="N68" t="s">
        <v>183</v>
      </c>
      <c r="O68" t="s">
        <v>119</v>
      </c>
      <c r="P68" t="s">
        <v>82</v>
      </c>
      <c r="Q68" t="s">
        <v>184</v>
      </c>
      <c r="R68" t="s">
        <v>185</v>
      </c>
      <c r="S68" t="s">
        <v>186</v>
      </c>
      <c r="T68" t="s">
        <v>35</v>
      </c>
      <c r="U68" t="s">
        <v>35</v>
      </c>
      <c r="V68" t="s">
        <v>49</v>
      </c>
    </row>
    <row r="69" spans="1:22" x14ac:dyDescent="0.25">
      <c r="A69" t="s">
        <v>22</v>
      </c>
      <c r="B69" t="s">
        <v>108</v>
      </c>
      <c r="C69" t="s">
        <v>178</v>
      </c>
      <c r="D69">
        <v>8</v>
      </c>
      <c r="E69" t="s">
        <v>179</v>
      </c>
      <c r="F69" t="s">
        <v>180</v>
      </c>
      <c r="G69" t="s">
        <v>192</v>
      </c>
      <c r="H69" t="s">
        <v>192</v>
      </c>
      <c r="I69" t="s">
        <v>182</v>
      </c>
      <c r="J69" t="s">
        <v>183</v>
      </c>
      <c r="K69" t="s">
        <v>119</v>
      </c>
      <c r="L69" t="s">
        <v>82</v>
      </c>
      <c r="M69" t="s">
        <v>182</v>
      </c>
      <c r="N69" t="s">
        <v>183</v>
      </c>
      <c r="O69" t="s">
        <v>119</v>
      </c>
      <c r="P69" t="s">
        <v>82</v>
      </c>
      <c r="Q69" t="s">
        <v>184</v>
      </c>
      <c r="R69" t="s">
        <v>185</v>
      </c>
      <c r="S69" t="s">
        <v>186</v>
      </c>
      <c r="T69" t="s">
        <v>35</v>
      </c>
      <c r="U69" t="s">
        <v>35</v>
      </c>
      <c r="V69" t="s">
        <v>49</v>
      </c>
    </row>
    <row r="70" spans="1:22" x14ac:dyDescent="0.25">
      <c r="A70" t="s">
        <v>22</v>
      </c>
      <c r="B70" t="s">
        <v>108</v>
      </c>
      <c r="C70" t="s">
        <v>178</v>
      </c>
      <c r="D70">
        <v>9</v>
      </c>
      <c r="E70" t="s">
        <v>179</v>
      </c>
      <c r="F70" t="s">
        <v>180</v>
      </c>
      <c r="G70" t="s">
        <v>193</v>
      </c>
      <c r="H70" t="s">
        <v>193</v>
      </c>
      <c r="I70" t="s">
        <v>182</v>
      </c>
      <c r="J70" t="s">
        <v>183</v>
      </c>
      <c r="K70" t="s">
        <v>119</v>
      </c>
      <c r="L70" t="s">
        <v>82</v>
      </c>
      <c r="M70" t="s">
        <v>182</v>
      </c>
      <c r="N70" t="s">
        <v>183</v>
      </c>
      <c r="O70" t="s">
        <v>119</v>
      </c>
      <c r="P70" t="s">
        <v>82</v>
      </c>
      <c r="Q70" t="s">
        <v>184</v>
      </c>
      <c r="R70" t="s">
        <v>185</v>
      </c>
      <c r="S70" t="s">
        <v>186</v>
      </c>
      <c r="T70" t="s">
        <v>35</v>
      </c>
      <c r="U70" t="s">
        <v>35</v>
      </c>
      <c r="V70" t="s">
        <v>49</v>
      </c>
    </row>
    <row r="71" spans="1:22" x14ac:dyDescent="0.25">
      <c r="A71" t="s">
        <v>22</v>
      </c>
      <c r="B71" t="s">
        <v>108</v>
      </c>
      <c r="C71" t="s">
        <v>178</v>
      </c>
      <c r="D71">
        <v>10</v>
      </c>
      <c r="E71" t="s">
        <v>179</v>
      </c>
      <c r="F71" t="s">
        <v>180</v>
      </c>
      <c r="G71" t="s">
        <v>194</v>
      </c>
      <c r="H71" t="s">
        <v>194</v>
      </c>
      <c r="I71" t="s">
        <v>195</v>
      </c>
      <c r="J71" t="s">
        <v>195</v>
      </c>
      <c r="K71" t="s">
        <v>119</v>
      </c>
      <c r="L71" t="s">
        <v>119</v>
      </c>
      <c r="M71" t="s">
        <v>195</v>
      </c>
      <c r="N71" t="s">
        <v>195</v>
      </c>
      <c r="O71" t="s">
        <v>119</v>
      </c>
      <c r="P71" t="s">
        <v>119</v>
      </c>
      <c r="Q71" t="s">
        <v>196</v>
      </c>
      <c r="R71" t="s">
        <v>196</v>
      </c>
      <c r="S71" t="s">
        <v>49</v>
      </c>
      <c r="T71" t="s">
        <v>197</v>
      </c>
      <c r="U71" t="s">
        <v>197</v>
      </c>
      <c r="V71" t="s">
        <v>49</v>
      </c>
    </row>
    <row r="72" spans="1:22" x14ac:dyDescent="0.25">
      <c r="A72" t="s">
        <v>22</v>
      </c>
      <c r="B72" t="s">
        <v>198</v>
      </c>
      <c r="C72" t="s">
        <v>24</v>
      </c>
      <c r="D72">
        <v>1</v>
      </c>
      <c r="E72" t="s">
        <v>199</v>
      </c>
      <c r="F72" t="s">
        <v>200</v>
      </c>
      <c r="G72" t="s">
        <v>201</v>
      </c>
      <c r="H72" t="s">
        <v>201</v>
      </c>
      <c r="I72" t="s">
        <v>202</v>
      </c>
      <c r="J72" t="s">
        <v>203</v>
      </c>
      <c r="K72" t="s">
        <v>204</v>
      </c>
      <c r="L72" t="s">
        <v>205</v>
      </c>
      <c r="M72" t="s">
        <v>202</v>
      </c>
      <c r="N72" t="s">
        <v>203</v>
      </c>
      <c r="O72" t="s">
        <v>204</v>
      </c>
      <c r="P72" t="s">
        <v>205</v>
      </c>
      <c r="Q72" t="s">
        <v>206</v>
      </c>
      <c r="R72" t="s">
        <v>207</v>
      </c>
      <c r="S72" t="s">
        <v>208</v>
      </c>
      <c r="T72" t="s">
        <v>86</v>
      </c>
      <c r="U72" t="s">
        <v>209</v>
      </c>
      <c r="V72" t="s">
        <v>210</v>
      </c>
    </row>
    <row r="73" spans="1:22" x14ac:dyDescent="0.25">
      <c r="A73" t="s">
        <v>22</v>
      </c>
      <c r="B73" t="s">
        <v>198</v>
      </c>
      <c r="C73" t="s">
        <v>24</v>
      </c>
      <c r="D73">
        <v>2</v>
      </c>
      <c r="E73" t="s">
        <v>199</v>
      </c>
      <c r="F73" t="s">
        <v>200</v>
      </c>
      <c r="G73" t="s">
        <v>211</v>
      </c>
      <c r="H73" t="s">
        <v>211</v>
      </c>
      <c r="I73" t="s">
        <v>202</v>
      </c>
      <c r="J73" t="s">
        <v>203</v>
      </c>
      <c r="K73" t="s">
        <v>204</v>
      </c>
      <c r="L73" t="s">
        <v>205</v>
      </c>
      <c r="M73" t="s">
        <v>202</v>
      </c>
      <c r="N73" t="s">
        <v>203</v>
      </c>
      <c r="O73" t="s">
        <v>204</v>
      </c>
      <c r="P73" t="s">
        <v>205</v>
      </c>
      <c r="Q73" t="s">
        <v>206</v>
      </c>
      <c r="R73" t="s">
        <v>207</v>
      </c>
      <c r="S73" t="s">
        <v>208</v>
      </c>
      <c r="T73" t="s">
        <v>86</v>
      </c>
      <c r="U73" t="s">
        <v>209</v>
      </c>
      <c r="V73" t="s">
        <v>210</v>
      </c>
    </row>
    <row r="74" spans="1:22" x14ac:dyDescent="0.25">
      <c r="A74" t="s">
        <v>22</v>
      </c>
      <c r="B74" t="s">
        <v>198</v>
      </c>
      <c r="C74" t="s">
        <v>24</v>
      </c>
      <c r="D74">
        <v>3</v>
      </c>
      <c r="E74" t="s">
        <v>199</v>
      </c>
      <c r="F74" t="s">
        <v>200</v>
      </c>
      <c r="G74" t="s">
        <v>212</v>
      </c>
      <c r="H74" t="s">
        <v>212</v>
      </c>
      <c r="I74" t="s">
        <v>202</v>
      </c>
      <c r="J74" t="s">
        <v>203</v>
      </c>
      <c r="K74" t="s">
        <v>204</v>
      </c>
      <c r="L74" t="s">
        <v>205</v>
      </c>
      <c r="M74" t="s">
        <v>202</v>
      </c>
      <c r="N74" t="s">
        <v>203</v>
      </c>
      <c r="O74" t="s">
        <v>204</v>
      </c>
      <c r="P74" t="s">
        <v>205</v>
      </c>
      <c r="Q74" t="s">
        <v>206</v>
      </c>
      <c r="R74" t="s">
        <v>207</v>
      </c>
      <c r="S74" t="s">
        <v>208</v>
      </c>
      <c r="T74" t="s">
        <v>86</v>
      </c>
      <c r="U74" t="s">
        <v>209</v>
      </c>
      <c r="V74" t="s">
        <v>210</v>
      </c>
    </row>
    <row r="75" spans="1:22" x14ac:dyDescent="0.25">
      <c r="A75" t="s">
        <v>22</v>
      </c>
      <c r="B75" t="s">
        <v>198</v>
      </c>
      <c r="C75" t="s">
        <v>24</v>
      </c>
      <c r="D75">
        <v>4</v>
      </c>
      <c r="E75" t="s">
        <v>199</v>
      </c>
      <c r="F75" t="s">
        <v>200</v>
      </c>
      <c r="G75" t="s">
        <v>213</v>
      </c>
      <c r="H75" t="s">
        <v>213</v>
      </c>
      <c r="I75" t="s">
        <v>202</v>
      </c>
      <c r="J75" t="s">
        <v>203</v>
      </c>
      <c r="K75" t="s">
        <v>204</v>
      </c>
      <c r="L75" t="s">
        <v>205</v>
      </c>
      <c r="M75" t="s">
        <v>202</v>
      </c>
      <c r="N75" t="s">
        <v>203</v>
      </c>
      <c r="O75" t="s">
        <v>204</v>
      </c>
      <c r="P75" t="s">
        <v>205</v>
      </c>
      <c r="Q75" t="s">
        <v>206</v>
      </c>
      <c r="R75" t="s">
        <v>207</v>
      </c>
      <c r="S75" t="s">
        <v>208</v>
      </c>
      <c r="T75" t="s">
        <v>86</v>
      </c>
      <c r="U75" t="s">
        <v>209</v>
      </c>
      <c r="V75" t="s">
        <v>210</v>
      </c>
    </row>
    <row r="76" spans="1:22" x14ac:dyDescent="0.25">
      <c r="A76" t="s">
        <v>22</v>
      </c>
      <c r="B76" t="s">
        <v>198</v>
      </c>
      <c r="C76" t="s">
        <v>24</v>
      </c>
      <c r="D76">
        <v>5</v>
      </c>
      <c r="E76" t="s">
        <v>199</v>
      </c>
      <c r="F76" t="s">
        <v>200</v>
      </c>
      <c r="G76" t="s">
        <v>214</v>
      </c>
      <c r="H76" t="s">
        <v>214</v>
      </c>
      <c r="I76" t="s">
        <v>202</v>
      </c>
      <c r="J76" t="s">
        <v>203</v>
      </c>
      <c r="K76" t="s">
        <v>204</v>
      </c>
      <c r="L76" t="s">
        <v>205</v>
      </c>
      <c r="M76" t="s">
        <v>202</v>
      </c>
      <c r="N76" t="s">
        <v>203</v>
      </c>
      <c r="O76" t="s">
        <v>204</v>
      </c>
      <c r="P76" t="s">
        <v>205</v>
      </c>
      <c r="Q76" t="s">
        <v>206</v>
      </c>
      <c r="R76" t="s">
        <v>207</v>
      </c>
      <c r="S76" t="s">
        <v>208</v>
      </c>
      <c r="T76" t="s">
        <v>86</v>
      </c>
      <c r="U76" t="s">
        <v>209</v>
      </c>
      <c r="V76" t="s">
        <v>210</v>
      </c>
    </row>
    <row r="77" spans="1:22" x14ac:dyDescent="0.25">
      <c r="A77" t="s">
        <v>22</v>
      </c>
      <c r="B77" t="s">
        <v>198</v>
      </c>
      <c r="C77" t="s">
        <v>24</v>
      </c>
      <c r="D77">
        <v>6</v>
      </c>
      <c r="E77" t="s">
        <v>199</v>
      </c>
      <c r="F77" t="s">
        <v>200</v>
      </c>
      <c r="G77" t="s">
        <v>215</v>
      </c>
      <c r="H77" t="s">
        <v>215</v>
      </c>
      <c r="I77" t="s">
        <v>202</v>
      </c>
      <c r="J77" t="s">
        <v>203</v>
      </c>
      <c r="K77" t="s">
        <v>204</v>
      </c>
      <c r="L77" t="s">
        <v>205</v>
      </c>
      <c r="M77" t="s">
        <v>202</v>
      </c>
      <c r="N77" t="s">
        <v>203</v>
      </c>
      <c r="O77" t="s">
        <v>204</v>
      </c>
      <c r="P77" t="s">
        <v>205</v>
      </c>
      <c r="Q77" t="s">
        <v>206</v>
      </c>
      <c r="R77" t="s">
        <v>207</v>
      </c>
      <c r="S77" t="s">
        <v>208</v>
      </c>
      <c r="T77" t="s">
        <v>86</v>
      </c>
      <c r="U77" t="s">
        <v>209</v>
      </c>
      <c r="V77" t="s">
        <v>210</v>
      </c>
    </row>
    <row r="78" spans="1:22" x14ac:dyDescent="0.25">
      <c r="A78" t="s">
        <v>22</v>
      </c>
      <c r="B78" t="s">
        <v>198</v>
      </c>
      <c r="C78" t="s">
        <v>24</v>
      </c>
      <c r="D78">
        <v>7</v>
      </c>
      <c r="E78" t="s">
        <v>199</v>
      </c>
      <c r="F78" t="s">
        <v>200</v>
      </c>
      <c r="G78" t="s">
        <v>216</v>
      </c>
      <c r="H78" t="s">
        <v>216</v>
      </c>
      <c r="I78" t="s">
        <v>202</v>
      </c>
      <c r="J78" t="s">
        <v>203</v>
      </c>
      <c r="K78" t="s">
        <v>204</v>
      </c>
      <c r="L78" t="s">
        <v>205</v>
      </c>
      <c r="M78" t="s">
        <v>202</v>
      </c>
      <c r="N78" t="s">
        <v>203</v>
      </c>
      <c r="O78" t="s">
        <v>204</v>
      </c>
      <c r="P78" t="s">
        <v>205</v>
      </c>
      <c r="Q78" t="s">
        <v>206</v>
      </c>
      <c r="R78" t="s">
        <v>207</v>
      </c>
      <c r="S78" t="s">
        <v>208</v>
      </c>
      <c r="T78" t="s">
        <v>86</v>
      </c>
      <c r="U78" t="s">
        <v>209</v>
      </c>
      <c r="V78" t="s">
        <v>210</v>
      </c>
    </row>
    <row r="79" spans="1:22" x14ac:dyDescent="0.25">
      <c r="A79" t="s">
        <v>22</v>
      </c>
      <c r="B79" t="s">
        <v>198</v>
      </c>
      <c r="C79" t="s">
        <v>24</v>
      </c>
      <c r="D79">
        <v>8</v>
      </c>
      <c r="E79" t="s">
        <v>199</v>
      </c>
      <c r="F79" t="s">
        <v>200</v>
      </c>
      <c r="G79" t="s">
        <v>217</v>
      </c>
      <c r="H79" t="s">
        <v>217</v>
      </c>
      <c r="I79" t="s">
        <v>202</v>
      </c>
      <c r="J79" t="s">
        <v>203</v>
      </c>
      <c r="K79" t="s">
        <v>204</v>
      </c>
      <c r="L79" t="s">
        <v>205</v>
      </c>
      <c r="M79" t="s">
        <v>202</v>
      </c>
      <c r="N79" t="s">
        <v>203</v>
      </c>
      <c r="O79" t="s">
        <v>204</v>
      </c>
      <c r="P79" t="s">
        <v>205</v>
      </c>
      <c r="Q79" t="s">
        <v>206</v>
      </c>
      <c r="R79" t="s">
        <v>207</v>
      </c>
      <c r="S79" t="s">
        <v>208</v>
      </c>
      <c r="T79" t="s">
        <v>86</v>
      </c>
      <c r="U79" t="s">
        <v>209</v>
      </c>
      <c r="V79" t="s">
        <v>210</v>
      </c>
    </row>
    <row r="80" spans="1:22" x14ac:dyDescent="0.25">
      <c r="A80" t="s">
        <v>22</v>
      </c>
      <c r="B80" t="s">
        <v>198</v>
      </c>
      <c r="C80" t="s">
        <v>24</v>
      </c>
      <c r="D80">
        <v>9</v>
      </c>
      <c r="E80" t="s">
        <v>199</v>
      </c>
      <c r="F80" t="s">
        <v>200</v>
      </c>
      <c r="G80" t="s">
        <v>212</v>
      </c>
      <c r="H80" t="s">
        <v>212</v>
      </c>
      <c r="I80" t="s">
        <v>202</v>
      </c>
      <c r="J80" t="s">
        <v>203</v>
      </c>
      <c r="K80" t="s">
        <v>204</v>
      </c>
      <c r="L80" t="s">
        <v>205</v>
      </c>
      <c r="M80" t="s">
        <v>202</v>
      </c>
      <c r="N80" t="s">
        <v>203</v>
      </c>
      <c r="O80" t="s">
        <v>204</v>
      </c>
      <c r="P80" t="s">
        <v>205</v>
      </c>
      <c r="Q80" t="s">
        <v>206</v>
      </c>
      <c r="R80" t="s">
        <v>207</v>
      </c>
      <c r="S80" t="s">
        <v>208</v>
      </c>
      <c r="T80" t="s">
        <v>86</v>
      </c>
      <c r="U80" t="s">
        <v>209</v>
      </c>
      <c r="V80" t="s">
        <v>210</v>
      </c>
    </row>
    <row r="81" spans="1:22" x14ac:dyDescent="0.25">
      <c r="A81" t="s">
        <v>22</v>
      </c>
      <c r="B81" t="s">
        <v>198</v>
      </c>
      <c r="C81" t="s">
        <v>24</v>
      </c>
      <c r="D81">
        <v>10</v>
      </c>
      <c r="E81" t="s">
        <v>199</v>
      </c>
      <c r="F81" t="s">
        <v>200</v>
      </c>
      <c r="G81" t="s">
        <v>218</v>
      </c>
      <c r="H81" t="s">
        <v>218</v>
      </c>
      <c r="I81" t="s">
        <v>219</v>
      </c>
      <c r="J81" t="s">
        <v>219</v>
      </c>
      <c r="K81" t="s">
        <v>205</v>
      </c>
      <c r="L81" t="s">
        <v>205</v>
      </c>
      <c r="M81" t="s">
        <v>219</v>
      </c>
      <c r="N81" t="s">
        <v>219</v>
      </c>
      <c r="O81" t="s">
        <v>205</v>
      </c>
      <c r="P81" t="s">
        <v>205</v>
      </c>
      <c r="Q81" t="s">
        <v>220</v>
      </c>
      <c r="R81" t="s">
        <v>220</v>
      </c>
      <c r="S81" t="s">
        <v>49</v>
      </c>
      <c r="T81" t="s">
        <v>209</v>
      </c>
      <c r="U81" t="s">
        <v>209</v>
      </c>
      <c r="V81" t="s">
        <v>49</v>
      </c>
    </row>
    <row r="82" spans="1:22" x14ac:dyDescent="0.25">
      <c r="A82" t="s">
        <v>22</v>
      </c>
      <c r="B82" t="s">
        <v>198</v>
      </c>
      <c r="C82" t="s">
        <v>75</v>
      </c>
      <c r="D82">
        <v>1</v>
      </c>
      <c r="E82" t="s">
        <v>221</v>
      </c>
      <c r="F82" t="s">
        <v>222</v>
      </c>
      <c r="G82" t="s">
        <v>223</v>
      </c>
      <c r="H82" t="s">
        <v>223</v>
      </c>
      <c r="I82" t="s">
        <v>224</v>
      </c>
      <c r="J82" t="s">
        <v>225</v>
      </c>
      <c r="K82" t="s">
        <v>137</v>
      </c>
      <c r="L82" t="s">
        <v>82</v>
      </c>
      <c r="M82" t="s">
        <v>224</v>
      </c>
      <c r="N82" t="s">
        <v>225</v>
      </c>
      <c r="O82" t="s">
        <v>137</v>
      </c>
      <c r="P82" t="s">
        <v>82</v>
      </c>
      <c r="Q82" t="s">
        <v>226</v>
      </c>
      <c r="R82" t="s">
        <v>227</v>
      </c>
      <c r="S82" t="s">
        <v>228</v>
      </c>
      <c r="T82" t="s">
        <v>36</v>
      </c>
      <c r="U82" t="s">
        <v>229</v>
      </c>
      <c r="V82" t="s">
        <v>88</v>
      </c>
    </row>
    <row r="83" spans="1:22" x14ac:dyDescent="0.25">
      <c r="A83" t="s">
        <v>22</v>
      </c>
      <c r="B83" t="s">
        <v>198</v>
      </c>
      <c r="C83" t="s">
        <v>75</v>
      </c>
      <c r="D83">
        <v>2</v>
      </c>
      <c r="E83" t="s">
        <v>221</v>
      </c>
      <c r="F83" t="s">
        <v>222</v>
      </c>
      <c r="G83" t="s">
        <v>230</v>
      </c>
      <c r="H83" t="s">
        <v>230</v>
      </c>
      <c r="I83" t="s">
        <v>224</v>
      </c>
      <c r="J83" t="s">
        <v>225</v>
      </c>
      <c r="K83" t="s">
        <v>137</v>
      </c>
      <c r="L83" t="s">
        <v>82</v>
      </c>
      <c r="M83" t="s">
        <v>224</v>
      </c>
      <c r="N83" t="s">
        <v>225</v>
      </c>
      <c r="O83" t="s">
        <v>137</v>
      </c>
      <c r="P83" t="s">
        <v>82</v>
      </c>
      <c r="Q83" t="s">
        <v>226</v>
      </c>
      <c r="R83" t="s">
        <v>227</v>
      </c>
      <c r="S83" t="s">
        <v>228</v>
      </c>
      <c r="T83" t="s">
        <v>36</v>
      </c>
      <c r="U83" t="s">
        <v>229</v>
      </c>
      <c r="V83" t="s">
        <v>88</v>
      </c>
    </row>
    <row r="84" spans="1:22" x14ac:dyDescent="0.25">
      <c r="A84" t="s">
        <v>22</v>
      </c>
      <c r="B84" t="s">
        <v>198</v>
      </c>
      <c r="C84" t="s">
        <v>75</v>
      </c>
      <c r="D84">
        <v>3</v>
      </c>
      <c r="E84" t="s">
        <v>221</v>
      </c>
      <c r="F84" t="s">
        <v>222</v>
      </c>
      <c r="G84" t="s">
        <v>231</v>
      </c>
      <c r="H84" t="s">
        <v>231</v>
      </c>
      <c r="I84" t="s">
        <v>224</v>
      </c>
      <c r="J84" t="s">
        <v>225</v>
      </c>
      <c r="K84" t="s">
        <v>137</v>
      </c>
      <c r="L84" t="s">
        <v>82</v>
      </c>
      <c r="M84" t="s">
        <v>224</v>
      </c>
      <c r="N84" t="s">
        <v>225</v>
      </c>
      <c r="O84" t="s">
        <v>137</v>
      </c>
      <c r="P84" t="s">
        <v>82</v>
      </c>
      <c r="Q84" t="s">
        <v>226</v>
      </c>
      <c r="R84" t="s">
        <v>227</v>
      </c>
      <c r="S84" t="s">
        <v>228</v>
      </c>
      <c r="T84" t="s">
        <v>36</v>
      </c>
      <c r="U84" t="s">
        <v>229</v>
      </c>
      <c r="V84" t="s">
        <v>88</v>
      </c>
    </row>
    <row r="85" spans="1:22" x14ac:dyDescent="0.25">
      <c r="A85" t="s">
        <v>22</v>
      </c>
      <c r="B85" t="s">
        <v>198</v>
      </c>
      <c r="C85" t="s">
        <v>75</v>
      </c>
      <c r="D85">
        <v>4</v>
      </c>
      <c r="E85" t="s">
        <v>221</v>
      </c>
      <c r="F85" t="s">
        <v>222</v>
      </c>
      <c r="G85" t="s">
        <v>232</v>
      </c>
      <c r="H85" t="s">
        <v>232</v>
      </c>
      <c r="I85" t="s">
        <v>224</v>
      </c>
      <c r="J85" t="s">
        <v>225</v>
      </c>
      <c r="K85" t="s">
        <v>137</v>
      </c>
      <c r="L85" t="s">
        <v>82</v>
      </c>
      <c r="M85" t="s">
        <v>224</v>
      </c>
      <c r="N85" t="s">
        <v>225</v>
      </c>
      <c r="O85" t="s">
        <v>137</v>
      </c>
      <c r="P85" t="s">
        <v>82</v>
      </c>
      <c r="Q85" t="s">
        <v>226</v>
      </c>
      <c r="R85" t="s">
        <v>227</v>
      </c>
      <c r="S85" t="s">
        <v>228</v>
      </c>
      <c r="T85" t="s">
        <v>36</v>
      </c>
      <c r="U85" t="s">
        <v>229</v>
      </c>
      <c r="V85" t="s">
        <v>88</v>
      </c>
    </row>
    <row r="86" spans="1:22" x14ac:dyDescent="0.25">
      <c r="A86" t="s">
        <v>22</v>
      </c>
      <c r="B86" t="s">
        <v>198</v>
      </c>
      <c r="C86" t="s">
        <v>75</v>
      </c>
      <c r="D86">
        <v>5</v>
      </c>
      <c r="E86" t="s">
        <v>221</v>
      </c>
      <c r="F86" t="s">
        <v>222</v>
      </c>
      <c r="G86" t="s">
        <v>233</v>
      </c>
      <c r="H86" t="s">
        <v>233</v>
      </c>
      <c r="I86" t="s">
        <v>224</v>
      </c>
      <c r="J86" t="s">
        <v>225</v>
      </c>
      <c r="K86" t="s">
        <v>137</v>
      </c>
      <c r="L86" t="s">
        <v>82</v>
      </c>
      <c r="M86" t="s">
        <v>224</v>
      </c>
      <c r="N86" t="s">
        <v>225</v>
      </c>
      <c r="O86" t="s">
        <v>137</v>
      </c>
      <c r="P86" t="s">
        <v>82</v>
      </c>
      <c r="Q86" t="s">
        <v>226</v>
      </c>
      <c r="R86" t="s">
        <v>227</v>
      </c>
      <c r="S86" t="s">
        <v>228</v>
      </c>
      <c r="T86" t="s">
        <v>36</v>
      </c>
      <c r="U86" t="s">
        <v>229</v>
      </c>
      <c r="V86" t="s">
        <v>88</v>
      </c>
    </row>
    <row r="87" spans="1:22" x14ac:dyDescent="0.25">
      <c r="A87" t="s">
        <v>22</v>
      </c>
      <c r="B87" t="s">
        <v>198</v>
      </c>
      <c r="C87" t="s">
        <v>75</v>
      </c>
      <c r="D87">
        <v>6</v>
      </c>
      <c r="E87" t="s">
        <v>221</v>
      </c>
      <c r="F87" t="s">
        <v>222</v>
      </c>
      <c r="G87" t="s">
        <v>234</v>
      </c>
      <c r="H87" t="s">
        <v>234</v>
      </c>
      <c r="I87" t="s">
        <v>224</v>
      </c>
      <c r="J87" t="s">
        <v>225</v>
      </c>
      <c r="K87" t="s">
        <v>137</v>
      </c>
      <c r="L87" t="s">
        <v>82</v>
      </c>
      <c r="M87" t="s">
        <v>224</v>
      </c>
      <c r="N87" t="s">
        <v>225</v>
      </c>
      <c r="O87" t="s">
        <v>137</v>
      </c>
      <c r="P87" t="s">
        <v>82</v>
      </c>
      <c r="Q87" t="s">
        <v>226</v>
      </c>
      <c r="R87" t="s">
        <v>227</v>
      </c>
      <c r="S87" t="s">
        <v>228</v>
      </c>
      <c r="T87" t="s">
        <v>36</v>
      </c>
      <c r="U87" t="s">
        <v>229</v>
      </c>
      <c r="V87" t="s">
        <v>88</v>
      </c>
    </row>
    <row r="88" spans="1:22" x14ac:dyDescent="0.25">
      <c r="A88" t="s">
        <v>22</v>
      </c>
      <c r="B88" t="s">
        <v>198</v>
      </c>
      <c r="C88" t="s">
        <v>75</v>
      </c>
      <c r="D88">
        <v>7</v>
      </c>
      <c r="E88" t="s">
        <v>221</v>
      </c>
      <c r="F88" t="s">
        <v>222</v>
      </c>
      <c r="G88" t="s">
        <v>235</v>
      </c>
      <c r="H88" t="s">
        <v>235</v>
      </c>
      <c r="I88" t="s">
        <v>224</v>
      </c>
      <c r="J88" t="s">
        <v>225</v>
      </c>
      <c r="K88" t="s">
        <v>137</v>
      </c>
      <c r="L88" t="s">
        <v>82</v>
      </c>
      <c r="M88" t="s">
        <v>224</v>
      </c>
      <c r="N88" t="s">
        <v>225</v>
      </c>
      <c r="O88" t="s">
        <v>137</v>
      </c>
      <c r="P88" t="s">
        <v>82</v>
      </c>
      <c r="Q88" t="s">
        <v>226</v>
      </c>
      <c r="R88" t="s">
        <v>227</v>
      </c>
      <c r="S88" t="s">
        <v>228</v>
      </c>
      <c r="T88" t="s">
        <v>36</v>
      </c>
      <c r="U88" t="s">
        <v>229</v>
      </c>
      <c r="V88" t="s">
        <v>88</v>
      </c>
    </row>
    <row r="89" spans="1:22" x14ac:dyDescent="0.25">
      <c r="A89" t="s">
        <v>22</v>
      </c>
      <c r="B89" t="s">
        <v>198</v>
      </c>
      <c r="C89" t="s">
        <v>75</v>
      </c>
      <c r="D89">
        <v>8</v>
      </c>
      <c r="E89" t="s">
        <v>221</v>
      </c>
      <c r="F89" t="s">
        <v>222</v>
      </c>
      <c r="G89" t="s">
        <v>236</v>
      </c>
      <c r="H89" t="s">
        <v>236</v>
      </c>
      <c r="I89" t="s">
        <v>224</v>
      </c>
      <c r="J89" t="s">
        <v>225</v>
      </c>
      <c r="K89" t="s">
        <v>137</v>
      </c>
      <c r="L89" t="s">
        <v>82</v>
      </c>
      <c r="M89" t="s">
        <v>224</v>
      </c>
      <c r="N89" t="s">
        <v>225</v>
      </c>
      <c r="O89" t="s">
        <v>137</v>
      </c>
      <c r="P89" t="s">
        <v>82</v>
      </c>
      <c r="Q89" t="s">
        <v>226</v>
      </c>
      <c r="R89" t="s">
        <v>227</v>
      </c>
      <c r="S89" t="s">
        <v>228</v>
      </c>
      <c r="T89" t="s">
        <v>36</v>
      </c>
      <c r="U89" t="s">
        <v>229</v>
      </c>
      <c r="V89" t="s">
        <v>88</v>
      </c>
    </row>
    <row r="90" spans="1:22" x14ac:dyDescent="0.25">
      <c r="A90" t="s">
        <v>22</v>
      </c>
      <c r="B90" t="s">
        <v>198</v>
      </c>
      <c r="C90" t="s">
        <v>75</v>
      </c>
      <c r="D90">
        <v>9</v>
      </c>
      <c r="E90" t="s">
        <v>221</v>
      </c>
      <c r="F90" t="s">
        <v>222</v>
      </c>
      <c r="G90" t="s">
        <v>237</v>
      </c>
      <c r="H90" t="s">
        <v>237</v>
      </c>
      <c r="I90" t="s">
        <v>224</v>
      </c>
      <c r="J90" t="s">
        <v>225</v>
      </c>
      <c r="K90" t="s">
        <v>137</v>
      </c>
      <c r="L90" t="s">
        <v>82</v>
      </c>
      <c r="M90" t="s">
        <v>224</v>
      </c>
      <c r="N90" t="s">
        <v>225</v>
      </c>
      <c r="O90" t="s">
        <v>137</v>
      </c>
      <c r="P90" t="s">
        <v>82</v>
      </c>
      <c r="Q90" t="s">
        <v>226</v>
      </c>
      <c r="R90" t="s">
        <v>227</v>
      </c>
      <c r="S90" t="s">
        <v>228</v>
      </c>
      <c r="T90" t="s">
        <v>36</v>
      </c>
      <c r="U90" t="s">
        <v>229</v>
      </c>
      <c r="V90" t="s">
        <v>88</v>
      </c>
    </row>
    <row r="91" spans="1:22" x14ac:dyDescent="0.25">
      <c r="A91" t="s">
        <v>22</v>
      </c>
      <c r="B91" t="s">
        <v>198</v>
      </c>
      <c r="C91" t="s">
        <v>75</v>
      </c>
      <c r="D91">
        <v>10</v>
      </c>
      <c r="E91" t="s">
        <v>221</v>
      </c>
      <c r="F91" t="s">
        <v>222</v>
      </c>
      <c r="G91" t="s">
        <v>238</v>
      </c>
      <c r="H91" t="s">
        <v>238</v>
      </c>
      <c r="I91" t="s">
        <v>239</v>
      </c>
      <c r="J91" t="s">
        <v>240</v>
      </c>
      <c r="K91" t="s">
        <v>49</v>
      </c>
      <c r="L91" t="s">
        <v>49</v>
      </c>
      <c r="M91" t="s">
        <v>239</v>
      </c>
      <c r="N91" t="s">
        <v>240</v>
      </c>
      <c r="O91" t="s">
        <v>49</v>
      </c>
      <c r="P91" t="s">
        <v>49</v>
      </c>
      <c r="Q91" t="s">
        <v>241</v>
      </c>
      <c r="R91" t="s">
        <v>242</v>
      </c>
      <c r="S91" t="s">
        <v>243</v>
      </c>
      <c r="T91" t="s">
        <v>229</v>
      </c>
      <c r="U91" t="s">
        <v>229</v>
      </c>
      <c r="V91" t="s">
        <v>49</v>
      </c>
    </row>
    <row r="92" spans="1:22" x14ac:dyDescent="0.25">
      <c r="A92" t="s">
        <v>22</v>
      </c>
      <c r="B92" t="s">
        <v>244</v>
      </c>
      <c r="C92" t="s">
        <v>24</v>
      </c>
      <c r="D92">
        <v>1</v>
      </c>
      <c r="E92" t="s">
        <v>245</v>
      </c>
      <c r="F92" t="s">
        <v>246</v>
      </c>
      <c r="G92" t="s">
        <v>247</v>
      </c>
      <c r="H92" t="s">
        <v>247</v>
      </c>
      <c r="I92" t="s">
        <v>248</v>
      </c>
      <c r="J92" t="s">
        <v>249</v>
      </c>
      <c r="K92" t="s">
        <v>250</v>
      </c>
      <c r="L92" t="s">
        <v>251</v>
      </c>
      <c r="M92" t="s">
        <v>248</v>
      </c>
      <c r="N92" t="s">
        <v>249</v>
      </c>
      <c r="O92" t="s">
        <v>250</v>
      </c>
      <c r="P92" t="s">
        <v>251</v>
      </c>
      <c r="Q92" t="s">
        <v>252</v>
      </c>
      <c r="R92" t="s">
        <v>253</v>
      </c>
      <c r="S92" t="s">
        <v>254</v>
      </c>
      <c r="T92" t="s">
        <v>36</v>
      </c>
      <c r="U92" t="s">
        <v>255</v>
      </c>
      <c r="V92" t="s">
        <v>213</v>
      </c>
    </row>
    <row r="93" spans="1:22" x14ac:dyDescent="0.25">
      <c r="A93" t="s">
        <v>22</v>
      </c>
      <c r="B93" t="s">
        <v>244</v>
      </c>
      <c r="C93" t="s">
        <v>24</v>
      </c>
      <c r="D93">
        <v>2</v>
      </c>
      <c r="E93" t="s">
        <v>245</v>
      </c>
      <c r="F93" t="s">
        <v>246</v>
      </c>
      <c r="G93" t="s">
        <v>256</v>
      </c>
      <c r="H93" t="s">
        <v>256</v>
      </c>
      <c r="I93" t="s">
        <v>248</v>
      </c>
      <c r="J93" t="s">
        <v>249</v>
      </c>
      <c r="K93" t="s">
        <v>250</v>
      </c>
      <c r="L93" t="s">
        <v>251</v>
      </c>
      <c r="M93" t="s">
        <v>248</v>
      </c>
      <c r="N93" t="s">
        <v>249</v>
      </c>
      <c r="O93" t="s">
        <v>250</v>
      </c>
      <c r="P93" t="s">
        <v>251</v>
      </c>
      <c r="Q93" t="s">
        <v>252</v>
      </c>
      <c r="R93" t="s">
        <v>253</v>
      </c>
      <c r="S93" t="s">
        <v>254</v>
      </c>
      <c r="T93" t="s">
        <v>36</v>
      </c>
      <c r="U93" t="s">
        <v>255</v>
      </c>
      <c r="V93" t="s">
        <v>213</v>
      </c>
    </row>
    <row r="94" spans="1:22" x14ac:dyDescent="0.25">
      <c r="A94" t="s">
        <v>22</v>
      </c>
      <c r="B94" t="s">
        <v>244</v>
      </c>
      <c r="C94" t="s">
        <v>24</v>
      </c>
      <c r="D94">
        <v>3</v>
      </c>
      <c r="E94" t="s">
        <v>245</v>
      </c>
      <c r="F94" t="s">
        <v>246</v>
      </c>
      <c r="G94" t="s">
        <v>257</v>
      </c>
      <c r="H94" t="s">
        <v>257</v>
      </c>
      <c r="I94" t="s">
        <v>248</v>
      </c>
      <c r="J94" t="s">
        <v>249</v>
      </c>
      <c r="K94" t="s">
        <v>250</v>
      </c>
      <c r="L94" t="s">
        <v>251</v>
      </c>
      <c r="M94" t="s">
        <v>248</v>
      </c>
      <c r="N94" t="s">
        <v>249</v>
      </c>
      <c r="O94" t="s">
        <v>250</v>
      </c>
      <c r="P94" t="s">
        <v>251</v>
      </c>
      <c r="Q94" t="s">
        <v>252</v>
      </c>
      <c r="R94" t="s">
        <v>253</v>
      </c>
      <c r="S94" t="s">
        <v>254</v>
      </c>
      <c r="T94" t="s">
        <v>36</v>
      </c>
      <c r="U94" t="s">
        <v>255</v>
      </c>
      <c r="V94" t="s">
        <v>213</v>
      </c>
    </row>
    <row r="95" spans="1:22" x14ac:dyDescent="0.25">
      <c r="A95" t="s">
        <v>22</v>
      </c>
      <c r="B95" t="s">
        <v>244</v>
      </c>
      <c r="C95" t="s">
        <v>24</v>
      </c>
      <c r="D95">
        <v>4</v>
      </c>
      <c r="E95" t="s">
        <v>245</v>
      </c>
      <c r="F95" t="s">
        <v>246</v>
      </c>
      <c r="G95" t="s">
        <v>258</v>
      </c>
      <c r="H95" t="s">
        <v>258</v>
      </c>
      <c r="I95" t="s">
        <v>259</v>
      </c>
      <c r="J95" t="s">
        <v>260</v>
      </c>
      <c r="K95" t="s">
        <v>119</v>
      </c>
      <c r="L95" t="s">
        <v>119</v>
      </c>
      <c r="M95" t="s">
        <v>259</v>
      </c>
      <c r="N95" t="s">
        <v>260</v>
      </c>
      <c r="O95" t="s">
        <v>119</v>
      </c>
      <c r="P95" t="s">
        <v>119</v>
      </c>
      <c r="Q95" t="s">
        <v>261</v>
      </c>
      <c r="R95" t="s">
        <v>262</v>
      </c>
      <c r="S95" t="s">
        <v>263</v>
      </c>
      <c r="T95" t="s">
        <v>264</v>
      </c>
      <c r="U95" t="s">
        <v>265</v>
      </c>
      <c r="V95" t="s">
        <v>266</v>
      </c>
    </row>
    <row r="96" spans="1:22" x14ac:dyDescent="0.25">
      <c r="A96" t="s">
        <v>22</v>
      </c>
      <c r="B96" t="s">
        <v>244</v>
      </c>
      <c r="C96" t="s">
        <v>24</v>
      </c>
      <c r="D96">
        <v>5</v>
      </c>
      <c r="E96" t="s">
        <v>245</v>
      </c>
      <c r="F96" t="s">
        <v>246</v>
      </c>
      <c r="G96" t="s">
        <v>267</v>
      </c>
      <c r="H96" t="s">
        <v>267</v>
      </c>
      <c r="I96" t="s">
        <v>248</v>
      </c>
      <c r="J96" t="s">
        <v>249</v>
      </c>
      <c r="K96" t="s">
        <v>250</v>
      </c>
      <c r="L96" t="s">
        <v>251</v>
      </c>
      <c r="M96" t="s">
        <v>248</v>
      </c>
      <c r="N96" t="s">
        <v>249</v>
      </c>
      <c r="O96" t="s">
        <v>250</v>
      </c>
      <c r="P96" t="s">
        <v>251</v>
      </c>
      <c r="Q96" t="s">
        <v>252</v>
      </c>
      <c r="R96" t="s">
        <v>253</v>
      </c>
      <c r="S96" t="s">
        <v>254</v>
      </c>
      <c r="T96" t="s">
        <v>36</v>
      </c>
      <c r="U96" t="s">
        <v>255</v>
      </c>
      <c r="V96" t="s">
        <v>213</v>
      </c>
    </row>
    <row r="97" spans="1:22" x14ac:dyDescent="0.25">
      <c r="A97" t="s">
        <v>22</v>
      </c>
      <c r="B97" t="s">
        <v>244</v>
      </c>
      <c r="C97" t="s">
        <v>24</v>
      </c>
      <c r="D97">
        <v>6</v>
      </c>
      <c r="E97" t="s">
        <v>245</v>
      </c>
      <c r="F97" t="s">
        <v>246</v>
      </c>
      <c r="G97" t="s">
        <v>268</v>
      </c>
      <c r="H97" t="s">
        <v>268</v>
      </c>
      <c r="I97" t="s">
        <v>248</v>
      </c>
      <c r="J97" t="s">
        <v>249</v>
      </c>
      <c r="K97" t="s">
        <v>250</v>
      </c>
      <c r="L97" t="s">
        <v>251</v>
      </c>
      <c r="M97" t="s">
        <v>248</v>
      </c>
      <c r="N97" t="s">
        <v>249</v>
      </c>
      <c r="O97" t="s">
        <v>250</v>
      </c>
      <c r="P97" t="s">
        <v>251</v>
      </c>
      <c r="Q97" t="s">
        <v>252</v>
      </c>
      <c r="R97" t="s">
        <v>253</v>
      </c>
      <c r="S97" t="s">
        <v>254</v>
      </c>
      <c r="T97" t="s">
        <v>36</v>
      </c>
      <c r="U97" t="s">
        <v>255</v>
      </c>
      <c r="V97" t="s">
        <v>213</v>
      </c>
    </row>
    <row r="98" spans="1:22" x14ac:dyDescent="0.25">
      <c r="A98" t="s">
        <v>22</v>
      </c>
      <c r="B98" t="s">
        <v>244</v>
      </c>
      <c r="C98" t="s">
        <v>24</v>
      </c>
      <c r="D98">
        <v>7</v>
      </c>
      <c r="E98" t="s">
        <v>245</v>
      </c>
      <c r="F98" t="s">
        <v>246</v>
      </c>
      <c r="G98" t="s">
        <v>269</v>
      </c>
      <c r="H98" t="s">
        <v>269</v>
      </c>
      <c r="I98" t="s">
        <v>248</v>
      </c>
      <c r="J98" t="s">
        <v>249</v>
      </c>
      <c r="K98" t="s">
        <v>250</v>
      </c>
      <c r="L98" t="s">
        <v>251</v>
      </c>
      <c r="M98" t="s">
        <v>248</v>
      </c>
      <c r="N98" t="s">
        <v>249</v>
      </c>
      <c r="O98" t="s">
        <v>250</v>
      </c>
      <c r="P98" t="s">
        <v>251</v>
      </c>
      <c r="Q98" t="s">
        <v>252</v>
      </c>
      <c r="R98" t="s">
        <v>253</v>
      </c>
      <c r="S98" t="s">
        <v>254</v>
      </c>
      <c r="T98" t="s">
        <v>36</v>
      </c>
      <c r="U98" t="s">
        <v>255</v>
      </c>
      <c r="V98" t="s">
        <v>213</v>
      </c>
    </row>
    <row r="99" spans="1:22" x14ac:dyDescent="0.25">
      <c r="A99" t="s">
        <v>22</v>
      </c>
      <c r="B99" t="s">
        <v>244</v>
      </c>
      <c r="C99" t="s">
        <v>24</v>
      </c>
      <c r="D99">
        <v>8</v>
      </c>
      <c r="E99" t="s">
        <v>245</v>
      </c>
      <c r="F99" t="s">
        <v>246</v>
      </c>
      <c r="G99" t="s">
        <v>270</v>
      </c>
      <c r="H99" t="s">
        <v>270</v>
      </c>
      <c r="I99" t="s">
        <v>248</v>
      </c>
      <c r="J99" t="s">
        <v>249</v>
      </c>
      <c r="K99" t="s">
        <v>250</v>
      </c>
      <c r="L99" t="s">
        <v>251</v>
      </c>
      <c r="M99" t="s">
        <v>248</v>
      </c>
      <c r="N99" t="s">
        <v>249</v>
      </c>
      <c r="O99" t="s">
        <v>250</v>
      </c>
      <c r="P99" t="s">
        <v>251</v>
      </c>
      <c r="Q99" t="s">
        <v>252</v>
      </c>
      <c r="R99" t="s">
        <v>253</v>
      </c>
      <c r="S99" t="s">
        <v>254</v>
      </c>
      <c r="T99" t="s">
        <v>36</v>
      </c>
      <c r="U99" t="s">
        <v>255</v>
      </c>
      <c r="V99" t="s">
        <v>213</v>
      </c>
    </row>
    <row r="100" spans="1:22" x14ac:dyDescent="0.25">
      <c r="A100" t="s">
        <v>22</v>
      </c>
      <c r="B100" t="s">
        <v>244</v>
      </c>
      <c r="C100" t="s">
        <v>24</v>
      </c>
      <c r="D100">
        <v>9</v>
      </c>
      <c r="E100" t="s">
        <v>245</v>
      </c>
      <c r="F100" t="s">
        <v>246</v>
      </c>
      <c r="G100" t="s">
        <v>271</v>
      </c>
      <c r="H100" t="s">
        <v>271</v>
      </c>
      <c r="I100" t="s">
        <v>248</v>
      </c>
      <c r="J100" t="s">
        <v>249</v>
      </c>
      <c r="K100" t="s">
        <v>250</v>
      </c>
      <c r="L100" t="s">
        <v>251</v>
      </c>
      <c r="M100" t="s">
        <v>248</v>
      </c>
      <c r="N100" t="s">
        <v>249</v>
      </c>
      <c r="O100" t="s">
        <v>250</v>
      </c>
      <c r="P100" t="s">
        <v>251</v>
      </c>
      <c r="Q100" t="s">
        <v>252</v>
      </c>
      <c r="R100" t="s">
        <v>253</v>
      </c>
      <c r="S100" t="s">
        <v>254</v>
      </c>
      <c r="T100" t="s">
        <v>36</v>
      </c>
      <c r="U100" t="s">
        <v>255</v>
      </c>
      <c r="V100" t="s">
        <v>213</v>
      </c>
    </row>
    <row r="101" spans="1:22" x14ac:dyDescent="0.25">
      <c r="A101" t="s">
        <v>22</v>
      </c>
      <c r="B101" t="s">
        <v>244</v>
      </c>
      <c r="C101" t="s">
        <v>24</v>
      </c>
      <c r="D101">
        <v>10</v>
      </c>
      <c r="E101" t="s">
        <v>245</v>
      </c>
      <c r="F101" t="s">
        <v>246</v>
      </c>
      <c r="G101" t="s">
        <v>272</v>
      </c>
      <c r="H101" t="s">
        <v>272</v>
      </c>
      <c r="I101" t="s">
        <v>273</v>
      </c>
      <c r="J101" t="s">
        <v>274</v>
      </c>
      <c r="K101" t="s">
        <v>119</v>
      </c>
      <c r="L101" t="s">
        <v>119</v>
      </c>
      <c r="M101" t="s">
        <v>273</v>
      </c>
      <c r="N101" t="s">
        <v>274</v>
      </c>
      <c r="O101" t="s">
        <v>119</v>
      </c>
      <c r="P101" t="s">
        <v>119</v>
      </c>
      <c r="Q101" t="s">
        <v>275</v>
      </c>
      <c r="R101" t="s">
        <v>276</v>
      </c>
      <c r="S101" t="s">
        <v>277</v>
      </c>
      <c r="T101" t="s">
        <v>278</v>
      </c>
      <c r="U101" t="s">
        <v>278</v>
      </c>
      <c r="V101" t="s">
        <v>49</v>
      </c>
    </row>
    <row r="102" spans="1:22" x14ac:dyDescent="0.25">
      <c r="A102" t="s">
        <v>22</v>
      </c>
      <c r="B102" t="s">
        <v>244</v>
      </c>
      <c r="C102" t="s">
        <v>75</v>
      </c>
      <c r="D102">
        <v>1</v>
      </c>
      <c r="E102" t="s">
        <v>279</v>
      </c>
      <c r="F102" t="s">
        <v>280</v>
      </c>
      <c r="G102" t="s">
        <v>281</v>
      </c>
      <c r="H102" t="s">
        <v>281</v>
      </c>
      <c r="I102" t="s">
        <v>282</v>
      </c>
      <c r="J102" t="s">
        <v>283</v>
      </c>
      <c r="K102" t="s">
        <v>37</v>
      </c>
      <c r="L102" t="s">
        <v>37</v>
      </c>
      <c r="M102" t="s">
        <v>282</v>
      </c>
      <c r="N102" t="s">
        <v>283</v>
      </c>
      <c r="O102" t="s">
        <v>37</v>
      </c>
      <c r="P102" t="s">
        <v>37</v>
      </c>
      <c r="Q102" t="s">
        <v>284</v>
      </c>
      <c r="R102" t="s">
        <v>285</v>
      </c>
      <c r="S102" t="s">
        <v>286</v>
      </c>
      <c r="T102" t="s">
        <v>287</v>
      </c>
      <c r="U102" t="s">
        <v>288</v>
      </c>
      <c r="V102" t="s">
        <v>289</v>
      </c>
    </row>
    <row r="103" spans="1:22" x14ac:dyDescent="0.25">
      <c r="A103" t="s">
        <v>22</v>
      </c>
      <c r="B103" t="s">
        <v>244</v>
      </c>
      <c r="C103" t="s">
        <v>75</v>
      </c>
      <c r="D103">
        <v>2</v>
      </c>
      <c r="E103" t="s">
        <v>279</v>
      </c>
      <c r="F103" t="s">
        <v>280</v>
      </c>
      <c r="G103" t="s">
        <v>290</v>
      </c>
      <c r="H103" t="s">
        <v>290</v>
      </c>
      <c r="I103" t="s">
        <v>291</v>
      </c>
      <c r="J103" t="s">
        <v>292</v>
      </c>
      <c r="K103" t="s">
        <v>293</v>
      </c>
      <c r="L103" t="s">
        <v>31</v>
      </c>
      <c r="M103" t="s">
        <v>291</v>
      </c>
      <c r="N103" t="s">
        <v>292</v>
      </c>
      <c r="O103" t="s">
        <v>293</v>
      </c>
      <c r="P103" t="s">
        <v>31</v>
      </c>
      <c r="Q103" t="s">
        <v>294</v>
      </c>
      <c r="R103" t="s">
        <v>295</v>
      </c>
      <c r="S103" t="s">
        <v>296</v>
      </c>
      <c r="T103" t="s">
        <v>86</v>
      </c>
      <c r="U103" t="s">
        <v>297</v>
      </c>
      <c r="V103" t="s">
        <v>298</v>
      </c>
    </row>
    <row r="104" spans="1:22" x14ac:dyDescent="0.25">
      <c r="A104" t="s">
        <v>22</v>
      </c>
      <c r="B104" t="s">
        <v>244</v>
      </c>
      <c r="C104" t="s">
        <v>75</v>
      </c>
      <c r="D104">
        <v>3</v>
      </c>
      <c r="E104" t="s">
        <v>279</v>
      </c>
      <c r="F104" t="s">
        <v>280</v>
      </c>
      <c r="G104" t="s">
        <v>299</v>
      </c>
      <c r="H104" t="s">
        <v>299</v>
      </c>
      <c r="I104" t="s">
        <v>291</v>
      </c>
      <c r="J104" t="s">
        <v>292</v>
      </c>
      <c r="K104" t="s">
        <v>293</v>
      </c>
      <c r="L104" t="s">
        <v>31</v>
      </c>
      <c r="M104" t="s">
        <v>291</v>
      </c>
      <c r="N104" t="s">
        <v>292</v>
      </c>
      <c r="O104" t="s">
        <v>293</v>
      </c>
      <c r="P104" t="s">
        <v>31</v>
      </c>
      <c r="Q104" t="s">
        <v>294</v>
      </c>
      <c r="R104" t="s">
        <v>295</v>
      </c>
      <c r="S104" t="s">
        <v>296</v>
      </c>
      <c r="T104" t="s">
        <v>86</v>
      </c>
      <c r="U104" t="s">
        <v>297</v>
      </c>
      <c r="V104" t="s">
        <v>298</v>
      </c>
    </row>
    <row r="105" spans="1:22" x14ac:dyDescent="0.25">
      <c r="A105" t="s">
        <v>22</v>
      </c>
      <c r="B105" t="s">
        <v>244</v>
      </c>
      <c r="C105" t="s">
        <v>75</v>
      </c>
      <c r="D105">
        <v>4</v>
      </c>
      <c r="E105" t="s">
        <v>279</v>
      </c>
      <c r="F105" t="s">
        <v>280</v>
      </c>
      <c r="G105" t="s">
        <v>300</v>
      </c>
      <c r="H105" t="s">
        <v>300</v>
      </c>
      <c r="I105" t="s">
        <v>291</v>
      </c>
      <c r="J105" t="s">
        <v>292</v>
      </c>
      <c r="K105" t="s">
        <v>293</v>
      </c>
      <c r="L105" t="s">
        <v>31</v>
      </c>
      <c r="M105" t="s">
        <v>291</v>
      </c>
      <c r="N105" t="s">
        <v>292</v>
      </c>
      <c r="O105" t="s">
        <v>293</v>
      </c>
      <c r="P105" t="s">
        <v>31</v>
      </c>
      <c r="Q105" t="s">
        <v>294</v>
      </c>
      <c r="R105" t="s">
        <v>295</v>
      </c>
      <c r="S105" t="s">
        <v>296</v>
      </c>
      <c r="T105" t="s">
        <v>86</v>
      </c>
      <c r="U105" t="s">
        <v>297</v>
      </c>
      <c r="V105" t="s">
        <v>298</v>
      </c>
    </row>
    <row r="106" spans="1:22" x14ac:dyDescent="0.25">
      <c r="A106" t="s">
        <v>22</v>
      </c>
      <c r="B106" t="s">
        <v>244</v>
      </c>
      <c r="C106" t="s">
        <v>75</v>
      </c>
      <c r="D106">
        <v>5</v>
      </c>
      <c r="E106" t="s">
        <v>279</v>
      </c>
      <c r="F106" t="s">
        <v>280</v>
      </c>
      <c r="G106" t="s">
        <v>301</v>
      </c>
      <c r="H106" t="s">
        <v>301</v>
      </c>
      <c r="I106" t="s">
        <v>291</v>
      </c>
      <c r="J106" t="s">
        <v>292</v>
      </c>
      <c r="K106" t="s">
        <v>293</v>
      </c>
      <c r="L106" t="s">
        <v>31</v>
      </c>
      <c r="M106" t="s">
        <v>291</v>
      </c>
      <c r="N106" t="s">
        <v>292</v>
      </c>
      <c r="O106" t="s">
        <v>293</v>
      </c>
      <c r="P106" t="s">
        <v>31</v>
      </c>
      <c r="Q106" t="s">
        <v>294</v>
      </c>
      <c r="R106" t="s">
        <v>295</v>
      </c>
      <c r="S106" t="s">
        <v>296</v>
      </c>
      <c r="T106" t="s">
        <v>86</v>
      </c>
      <c r="U106" t="s">
        <v>297</v>
      </c>
      <c r="V106" t="s">
        <v>298</v>
      </c>
    </row>
    <row r="107" spans="1:22" x14ac:dyDescent="0.25">
      <c r="A107" t="s">
        <v>22</v>
      </c>
      <c r="B107" t="s">
        <v>244</v>
      </c>
      <c r="C107" t="s">
        <v>75</v>
      </c>
      <c r="D107">
        <v>6</v>
      </c>
      <c r="E107" t="s">
        <v>279</v>
      </c>
      <c r="F107" t="s">
        <v>280</v>
      </c>
      <c r="G107" t="s">
        <v>302</v>
      </c>
      <c r="H107" t="s">
        <v>302</v>
      </c>
      <c r="I107" t="s">
        <v>291</v>
      </c>
      <c r="J107" t="s">
        <v>292</v>
      </c>
      <c r="K107" t="s">
        <v>293</v>
      </c>
      <c r="L107" t="s">
        <v>31</v>
      </c>
      <c r="M107" t="s">
        <v>291</v>
      </c>
      <c r="N107" t="s">
        <v>292</v>
      </c>
      <c r="O107" t="s">
        <v>293</v>
      </c>
      <c r="P107" t="s">
        <v>31</v>
      </c>
      <c r="Q107" t="s">
        <v>294</v>
      </c>
      <c r="R107" t="s">
        <v>295</v>
      </c>
      <c r="S107" t="s">
        <v>296</v>
      </c>
      <c r="T107" t="s">
        <v>86</v>
      </c>
      <c r="U107" t="s">
        <v>297</v>
      </c>
      <c r="V107" t="s">
        <v>298</v>
      </c>
    </row>
    <row r="108" spans="1:22" x14ac:dyDescent="0.25">
      <c r="A108" t="s">
        <v>22</v>
      </c>
      <c r="B108" t="s">
        <v>244</v>
      </c>
      <c r="C108" t="s">
        <v>75</v>
      </c>
      <c r="D108">
        <v>7</v>
      </c>
      <c r="E108" t="s">
        <v>279</v>
      </c>
      <c r="F108" t="s">
        <v>280</v>
      </c>
      <c r="G108" t="s">
        <v>303</v>
      </c>
      <c r="H108" t="s">
        <v>303</v>
      </c>
      <c r="I108" t="s">
        <v>291</v>
      </c>
      <c r="J108" t="s">
        <v>292</v>
      </c>
      <c r="K108" t="s">
        <v>293</v>
      </c>
      <c r="L108" t="s">
        <v>31</v>
      </c>
      <c r="M108" t="s">
        <v>291</v>
      </c>
      <c r="N108" t="s">
        <v>292</v>
      </c>
      <c r="O108" t="s">
        <v>293</v>
      </c>
      <c r="P108" t="s">
        <v>31</v>
      </c>
      <c r="Q108" t="s">
        <v>294</v>
      </c>
      <c r="R108" t="s">
        <v>295</v>
      </c>
      <c r="S108" t="s">
        <v>296</v>
      </c>
      <c r="T108" t="s">
        <v>86</v>
      </c>
      <c r="U108" t="s">
        <v>297</v>
      </c>
      <c r="V108" t="s">
        <v>298</v>
      </c>
    </row>
    <row r="109" spans="1:22" x14ac:dyDescent="0.25">
      <c r="A109" t="s">
        <v>22</v>
      </c>
      <c r="B109" t="s">
        <v>244</v>
      </c>
      <c r="C109" t="s">
        <v>75</v>
      </c>
      <c r="D109">
        <v>8</v>
      </c>
      <c r="E109" t="s">
        <v>279</v>
      </c>
      <c r="F109" t="s">
        <v>280</v>
      </c>
      <c r="G109" t="s">
        <v>304</v>
      </c>
      <c r="H109" t="s">
        <v>304</v>
      </c>
      <c r="I109" t="s">
        <v>291</v>
      </c>
      <c r="J109" t="s">
        <v>292</v>
      </c>
      <c r="K109" t="s">
        <v>293</v>
      </c>
      <c r="L109" t="s">
        <v>31</v>
      </c>
      <c r="M109" t="s">
        <v>291</v>
      </c>
      <c r="N109" t="s">
        <v>292</v>
      </c>
      <c r="O109" t="s">
        <v>293</v>
      </c>
      <c r="P109" t="s">
        <v>31</v>
      </c>
      <c r="Q109" t="s">
        <v>294</v>
      </c>
      <c r="R109" t="s">
        <v>295</v>
      </c>
      <c r="S109" t="s">
        <v>296</v>
      </c>
      <c r="T109" t="s">
        <v>86</v>
      </c>
      <c r="U109" t="s">
        <v>297</v>
      </c>
      <c r="V109" t="s">
        <v>298</v>
      </c>
    </row>
    <row r="110" spans="1:22" x14ac:dyDescent="0.25">
      <c r="A110" t="s">
        <v>22</v>
      </c>
      <c r="B110" t="s">
        <v>244</v>
      </c>
      <c r="C110" t="s">
        <v>75</v>
      </c>
      <c r="D110">
        <v>9</v>
      </c>
      <c r="E110" t="s">
        <v>279</v>
      </c>
      <c r="F110" t="s">
        <v>280</v>
      </c>
      <c r="G110" t="s">
        <v>305</v>
      </c>
      <c r="H110" t="s">
        <v>305</v>
      </c>
      <c r="I110" t="s">
        <v>291</v>
      </c>
      <c r="J110" t="s">
        <v>292</v>
      </c>
      <c r="K110" t="s">
        <v>293</v>
      </c>
      <c r="L110" t="s">
        <v>31</v>
      </c>
      <c r="M110" t="s">
        <v>291</v>
      </c>
      <c r="N110" t="s">
        <v>292</v>
      </c>
      <c r="O110" t="s">
        <v>293</v>
      </c>
      <c r="P110" t="s">
        <v>31</v>
      </c>
      <c r="Q110" t="s">
        <v>294</v>
      </c>
      <c r="R110" t="s">
        <v>295</v>
      </c>
      <c r="S110" t="s">
        <v>296</v>
      </c>
      <c r="T110" t="s">
        <v>86</v>
      </c>
      <c r="U110" t="s">
        <v>297</v>
      </c>
      <c r="V110" t="s">
        <v>298</v>
      </c>
    </row>
    <row r="111" spans="1:22" x14ac:dyDescent="0.25">
      <c r="A111" t="s">
        <v>22</v>
      </c>
      <c r="B111" t="s">
        <v>244</v>
      </c>
      <c r="C111" t="s">
        <v>75</v>
      </c>
      <c r="D111">
        <v>10</v>
      </c>
      <c r="E111" t="s">
        <v>279</v>
      </c>
      <c r="F111" t="s">
        <v>280</v>
      </c>
      <c r="G111" t="s">
        <v>306</v>
      </c>
      <c r="H111" t="s">
        <v>306</v>
      </c>
      <c r="I111" t="s">
        <v>307</v>
      </c>
      <c r="J111" t="s">
        <v>307</v>
      </c>
      <c r="K111" t="s">
        <v>37</v>
      </c>
      <c r="L111" t="s">
        <v>37</v>
      </c>
      <c r="M111" t="s">
        <v>307</v>
      </c>
      <c r="N111" t="s">
        <v>307</v>
      </c>
      <c r="O111" t="s">
        <v>37</v>
      </c>
      <c r="P111" t="s">
        <v>37</v>
      </c>
      <c r="Q111" t="s">
        <v>308</v>
      </c>
      <c r="R111" t="s">
        <v>308</v>
      </c>
      <c r="S111" t="s">
        <v>49</v>
      </c>
      <c r="T111" t="s">
        <v>162</v>
      </c>
      <c r="U111" t="s">
        <v>162</v>
      </c>
      <c r="V111" t="s">
        <v>49</v>
      </c>
    </row>
    <row r="112" spans="1:22" x14ac:dyDescent="0.25">
      <c r="A112" t="s">
        <v>22</v>
      </c>
      <c r="B112" t="s">
        <v>244</v>
      </c>
      <c r="C112" t="s">
        <v>178</v>
      </c>
      <c r="D112">
        <v>1</v>
      </c>
      <c r="E112" t="s">
        <v>309</v>
      </c>
      <c r="F112" t="s">
        <v>310</v>
      </c>
      <c r="G112" t="s">
        <v>311</v>
      </c>
      <c r="H112" t="s">
        <v>311</v>
      </c>
      <c r="I112" t="s">
        <v>312</v>
      </c>
      <c r="J112" t="s">
        <v>313</v>
      </c>
      <c r="K112" t="s">
        <v>158</v>
      </c>
      <c r="L112" t="s">
        <v>31</v>
      </c>
      <c r="M112" t="s">
        <v>312</v>
      </c>
      <c r="N112" t="s">
        <v>313</v>
      </c>
      <c r="O112" t="s">
        <v>158</v>
      </c>
      <c r="P112" t="s">
        <v>31</v>
      </c>
      <c r="Q112" t="s">
        <v>314</v>
      </c>
      <c r="R112" t="s">
        <v>315</v>
      </c>
      <c r="S112" t="s">
        <v>316</v>
      </c>
      <c r="T112" t="s">
        <v>36</v>
      </c>
      <c r="U112" t="s">
        <v>255</v>
      </c>
      <c r="V112" t="s">
        <v>213</v>
      </c>
    </row>
    <row r="113" spans="1:22" x14ac:dyDescent="0.25">
      <c r="A113" t="s">
        <v>22</v>
      </c>
      <c r="B113" t="s">
        <v>244</v>
      </c>
      <c r="C113" t="s">
        <v>178</v>
      </c>
      <c r="D113">
        <v>2</v>
      </c>
      <c r="E113" t="s">
        <v>309</v>
      </c>
      <c r="F113" t="s">
        <v>310</v>
      </c>
      <c r="G113" t="s">
        <v>317</v>
      </c>
      <c r="H113" t="s">
        <v>317</v>
      </c>
      <c r="I113" t="s">
        <v>312</v>
      </c>
      <c r="J113" t="s">
        <v>313</v>
      </c>
      <c r="K113" t="s">
        <v>158</v>
      </c>
      <c r="L113" t="s">
        <v>31</v>
      </c>
      <c r="M113" t="s">
        <v>312</v>
      </c>
      <c r="N113" t="s">
        <v>313</v>
      </c>
      <c r="O113" t="s">
        <v>158</v>
      </c>
      <c r="P113" t="s">
        <v>31</v>
      </c>
      <c r="Q113" t="s">
        <v>314</v>
      </c>
      <c r="R113" t="s">
        <v>315</v>
      </c>
      <c r="S113" t="s">
        <v>316</v>
      </c>
      <c r="T113" t="s">
        <v>36</v>
      </c>
      <c r="U113" t="s">
        <v>255</v>
      </c>
      <c r="V113" t="s">
        <v>213</v>
      </c>
    </row>
    <row r="114" spans="1:22" x14ac:dyDescent="0.25">
      <c r="A114" t="s">
        <v>22</v>
      </c>
      <c r="B114" t="s">
        <v>244</v>
      </c>
      <c r="C114" t="s">
        <v>178</v>
      </c>
      <c r="D114">
        <v>3</v>
      </c>
      <c r="E114" t="s">
        <v>309</v>
      </c>
      <c r="F114" t="s">
        <v>310</v>
      </c>
      <c r="G114" t="s">
        <v>318</v>
      </c>
      <c r="H114" t="s">
        <v>318</v>
      </c>
      <c r="I114" t="s">
        <v>312</v>
      </c>
      <c r="J114" t="s">
        <v>313</v>
      </c>
      <c r="K114" t="s">
        <v>158</v>
      </c>
      <c r="L114" t="s">
        <v>31</v>
      </c>
      <c r="M114" t="s">
        <v>312</v>
      </c>
      <c r="N114" t="s">
        <v>313</v>
      </c>
      <c r="O114" t="s">
        <v>158</v>
      </c>
      <c r="P114" t="s">
        <v>31</v>
      </c>
      <c r="Q114" t="s">
        <v>314</v>
      </c>
      <c r="R114" t="s">
        <v>315</v>
      </c>
      <c r="S114" t="s">
        <v>316</v>
      </c>
      <c r="T114" t="s">
        <v>36</v>
      </c>
      <c r="U114" t="s">
        <v>255</v>
      </c>
      <c r="V114" t="s">
        <v>213</v>
      </c>
    </row>
    <row r="115" spans="1:22" x14ac:dyDescent="0.25">
      <c r="A115" t="s">
        <v>22</v>
      </c>
      <c r="B115" t="s">
        <v>244</v>
      </c>
      <c r="C115" t="s">
        <v>178</v>
      </c>
      <c r="D115">
        <v>4</v>
      </c>
      <c r="E115" t="s">
        <v>309</v>
      </c>
      <c r="F115" t="s">
        <v>310</v>
      </c>
      <c r="G115" t="s">
        <v>319</v>
      </c>
      <c r="H115" t="s">
        <v>319</v>
      </c>
      <c r="I115" t="s">
        <v>320</v>
      </c>
      <c r="J115" t="s">
        <v>321</v>
      </c>
      <c r="K115" t="s">
        <v>119</v>
      </c>
      <c r="L115" t="s">
        <v>119</v>
      </c>
      <c r="M115" t="s">
        <v>320</v>
      </c>
      <c r="N115" t="s">
        <v>321</v>
      </c>
      <c r="O115" t="s">
        <v>119</v>
      </c>
      <c r="P115" t="s">
        <v>119</v>
      </c>
      <c r="Q115" t="s">
        <v>322</v>
      </c>
      <c r="R115" t="s">
        <v>323</v>
      </c>
      <c r="S115" t="s">
        <v>324</v>
      </c>
      <c r="T115" t="s">
        <v>325</v>
      </c>
      <c r="U115" t="s">
        <v>326</v>
      </c>
      <c r="V115" t="s">
        <v>327</v>
      </c>
    </row>
    <row r="116" spans="1:22" x14ac:dyDescent="0.25">
      <c r="A116" t="s">
        <v>22</v>
      </c>
      <c r="B116" t="s">
        <v>244</v>
      </c>
      <c r="C116" t="s">
        <v>178</v>
      </c>
      <c r="D116">
        <v>5</v>
      </c>
      <c r="E116" t="s">
        <v>309</v>
      </c>
      <c r="F116" t="s">
        <v>310</v>
      </c>
      <c r="G116" t="s">
        <v>328</v>
      </c>
      <c r="H116" t="s">
        <v>328</v>
      </c>
      <c r="I116" t="s">
        <v>312</v>
      </c>
      <c r="J116" t="s">
        <v>313</v>
      </c>
      <c r="K116" t="s">
        <v>158</v>
      </c>
      <c r="L116" t="s">
        <v>31</v>
      </c>
      <c r="M116" t="s">
        <v>312</v>
      </c>
      <c r="N116" t="s">
        <v>313</v>
      </c>
      <c r="O116" t="s">
        <v>158</v>
      </c>
      <c r="P116" t="s">
        <v>31</v>
      </c>
      <c r="Q116" t="s">
        <v>314</v>
      </c>
      <c r="R116" t="s">
        <v>315</v>
      </c>
      <c r="S116" t="s">
        <v>316</v>
      </c>
      <c r="T116" t="s">
        <v>36</v>
      </c>
      <c r="U116" t="s">
        <v>255</v>
      </c>
      <c r="V116" t="s">
        <v>213</v>
      </c>
    </row>
    <row r="117" spans="1:22" x14ac:dyDescent="0.25">
      <c r="A117" t="s">
        <v>22</v>
      </c>
      <c r="B117" t="s">
        <v>244</v>
      </c>
      <c r="C117" t="s">
        <v>178</v>
      </c>
      <c r="D117">
        <v>6</v>
      </c>
      <c r="E117" t="s">
        <v>309</v>
      </c>
      <c r="F117" t="s">
        <v>310</v>
      </c>
      <c r="G117" t="s">
        <v>329</v>
      </c>
      <c r="H117" t="s">
        <v>329</v>
      </c>
      <c r="I117" t="s">
        <v>312</v>
      </c>
      <c r="J117" t="s">
        <v>313</v>
      </c>
      <c r="K117" t="s">
        <v>158</v>
      </c>
      <c r="L117" t="s">
        <v>31</v>
      </c>
      <c r="M117" t="s">
        <v>312</v>
      </c>
      <c r="N117" t="s">
        <v>313</v>
      </c>
      <c r="O117" t="s">
        <v>158</v>
      </c>
      <c r="P117" t="s">
        <v>31</v>
      </c>
      <c r="Q117" t="s">
        <v>314</v>
      </c>
      <c r="R117" t="s">
        <v>315</v>
      </c>
      <c r="S117" t="s">
        <v>316</v>
      </c>
      <c r="T117" t="s">
        <v>36</v>
      </c>
      <c r="U117" t="s">
        <v>255</v>
      </c>
      <c r="V117" t="s">
        <v>213</v>
      </c>
    </row>
    <row r="118" spans="1:22" x14ac:dyDescent="0.25">
      <c r="A118" t="s">
        <v>22</v>
      </c>
      <c r="B118" t="s">
        <v>244</v>
      </c>
      <c r="C118" t="s">
        <v>178</v>
      </c>
      <c r="D118">
        <v>7</v>
      </c>
      <c r="E118" t="s">
        <v>309</v>
      </c>
      <c r="F118" t="s">
        <v>310</v>
      </c>
      <c r="G118" t="s">
        <v>330</v>
      </c>
      <c r="H118" t="s">
        <v>330</v>
      </c>
      <c r="I118" t="s">
        <v>312</v>
      </c>
      <c r="J118" t="s">
        <v>313</v>
      </c>
      <c r="K118" t="s">
        <v>158</v>
      </c>
      <c r="L118" t="s">
        <v>31</v>
      </c>
      <c r="M118" t="s">
        <v>312</v>
      </c>
      <c r="N118" t="s">
        <v>313</v>
      </c>
      <c r="O118" t="s">
        <v>158</v>
      </c>
      <c r="P118" t="s">
        <v>31</v>
      </c>
      <c r="Q118" t="s">
        <v>314</v>
      </c>
      <c r="R118" t="s">
        <v>315</v>
      </c>
      <c r="S118" t="s">
        <v>316</v>
      </c>
      <c r="T118" t="s">
        <v>36</v>
      </c>
      <c r="U118" t="s">
        <v>255</v>
      </c>
      <c r="V118" t="s">
        <v>213</v>
      </c>
    </row>
    <row r="119" spans="1:22" x14ac:dyDescent="0.25">
      <c r="A119" t="s">
        <v>22</v>
      </c>
      <c r="B119" t="s">
        <v>244</v>
      </c>
      <c r="C119" t="s">
        <v>178</v>
      </c>
      <c r="D119">
        <v>8</v>
      </c>
      <c r="E119" t="s">
        <v>309</v>
      </c>
      <c r="F119" t="s">
        <v>310</v>
      </c>
      <c r="G119" t="s">
        <v>331</v>
      </c>
      <c r="H119" t="s">
        <v>331</v>
      </c>
      <c r="I119" t="s">
        <v>312</v>
      </c>
      <c r="J119" t="s">
        <v>313</v>
      </c>
      <c r="K119" t="s">
        <v>158</v>
      </c>
      <c r="L119" t="s">
        <v>31</v>
      </c>
      <c r="M119" t="s">
        <v>312</v>
      </c>
      <c r="N119" t="s">
        <v>313</v>
      </c>
      <c r="O119" t="s">
        <v>158</v>
      </c>
      <c r="P119" t="s">
        <v>31</v>
      </c>
      <c r="Q119" t="s">
        <v>314</v>
      </c>
      <c r="R119" t="s">
        <v>315</v>
      </c>
      <c r="S119" t="s">
        <v>316</v>
      </c>
      <c r="T119" t="s">
        <v>36</v>
      </c>
      <c r="U119" t="s">
        <v>255</v>
      </c>
      <c r="V119" t="s">
        <v>213</v>
      </c>
    </row>
    <row r="120" spans="1:22" x14ac:dyDescent="0.25">
      <c r="A120" t="s">
        <v>22</v>
      </c>
      <c r="B120" t="s">
        <v>244</v>
      </c>
      <c r="C120" t="s">
        <v>178</v>
      </c>
      <c r="D120">
        <v>9</v>
      </c>
      <c r="E120" t="s">
        <v>309</v>
      </c>
      <c r="F120" t="s">
        <v>310</v>
      </c>
      <c r="G120" t="s">
        <v>332</v>
      </c>
      <c r="H120" t="s">
        <v>332</v>
      </c>
      <c r="I120" t="s">
        <v>312</v>
      </c>
      <c r="J120" t="s">
        <v>313</v>
      </c>
      <c r="K120" t="s">
        <v>158</v>
      </c>
      <c r="L120" t="s">
        <v>31</v>
      </c>
      <c r="M120" t="s">
        <v>312</v>
      </c>
      <c r="N120" t="s">
        <v>313</v>
      </c>
      <c r="O120" t="s">
        <v>158</v>
      </c>
      <c r="P120" t="s">
        <v>31</v>
      </c>
      <c r="Q120" t="s">
        <v>314</v>
      </c>
      <c r="R120" t="s">
        <v>315</v>
      </c>
      <c r="S120" t="s">
        <v>316</v>
      </c>
      <c r="T120" t="s">
        <v>36</v>
      </c>
      <c r="U120" t="s">
        <v>255</v>
      </c>
      <c r="V120" t="s">
        <v>213</v>
      </c>
    </row>
    <row r="121" spans="1:22" x14ac:dyDescent="0.25">
      <c r="A121" t="s">
        <v>22</v>
      </c>
      <c r="B121" t="s">
        <v>244</v>
      </c>
      <c r="C121" t="s">
        <v>178</v>
      </c>
      <c r="D121">
        <v>10</v>
      </c>
      <c r="E121" t="s">
        <v>309</v>
      </c>
      <c r="F121" t="s">
        <v>310</v>
      </c>
      <c r="G121" t="s">
        <v>333</v>
      </c>
      <c r="H121" t="s">
        <v>333</v>
      </c>
      <c r="I121" t="s">
        <v>334</v>
      </c>
      <c r="J121" t="s">
        <v>335</v>
      </c>
      <c r="K121" t="s">
        <v>119</v>
      </c>
      <c r="L121" t="s">
        <v>119</v>
      </c>
      <c r="M121" t="s">
        <v>334</v>
      </c>
      <c r="N121" t="s">
        <v>335</v>
      </c>
      <c r="O121" t="s">
        <v>119</v>
      </c>
      <c r="P121" t="s">
        <v>119</v>
      </c>
      <c r="Q121" t="s">
        <v>336</v>
      </c>
      <c r="R121" t="s">
        <v>337</v>
      </c>
      <c r="S121" t="s">
        <v>338</v>
      </c>
      <c r="T121" t="s">
        <v>339</v>
      </c>
      <c r="U121" t="s">
        <v>339</v>
      </c>
      <c r="V121" t="s">
        <v>49</v>
      </c>
    </row>
    <row r="122" spans="1:22" x14ac:dyDescent="0.25">
      <c r="A122" t="s">
        <v>22</v>
      </c>
      <c r="B122" t="s">
        <v>340</v>
      </c>
      <c r="C122" t="s">
        <v>341</v>
      </c>
      <c r="D122">
        <v>1</v>
      </c>
      <c r="E122" t="s">
        <v>342</v>
      </c>
      <c r="F122" t="s">
        <v>343</v>
      </c>
      <c r="G122" t="s">
        <v>344</v>
      </c>
      <c r="H122" t="s">
        <v>344</v>
      </c>
      <c r="I122" t="s">
        <v>345</v>
      </c>
      <c r="J122" t="s">
        <v>346</v>
      </c>
      <c r="K122" t="s">
        <v>31</v>
      </c>
      <c r="L122" t="s">
        <v>31</v>
      </c>
      <c r="M122" t="s">
        <v>345</v>
      </c>
      <c r="N122" t="s">
        <v>346</v>
      </c>
      <c r="O122" t="s">
        <v>31</v>
      </c>
      <c r="P122" t="s">
        <v>31</v>
      </c>
      <c r="Q122" t="s">
        <v>347</v>
      </c>
      <c r="R122" t="s">
        <v>348</v>
      </c>
      <c r="S122" t="s">
        <v>349</v>
      </c>
      <c r="T122" t="s">
        <v>197</v>
      </c>
      <c r="U122" t="s">
        <v>35</v>
      </c>
      <c r="V122" t="s">
        <v>119</v>
      </c>
    </row>
    <row r="123" spans="1:22" x14ac:dyDescent="0.25">
      <c r="A123" t="s">
        <v>22</v>
      </c>
      <c r="B123" t="s">
        <v>340</v>
      </c>
      <c r="C123" t="s">
        <v>341</v>
      </c>
      <c r="D123">
        <v>2</v>
      </c>
      <c r="E123" t="s">
        <v>342</v>
      </c>
      <c r="F123" t="s">
        <v>343</v>
      </c>
      <c r="G123" t="s">
        <v>350</v>
      </c>
      <c r="H123" t="s">
        <v>350</v>
      </c>
      <c r="I123" t="s">
        <v>345</v>
      </c>
      <c r="J123" t="s">
        <v>346</v>
      </c>
      <c r="K123" t="s">
        <v>31</v>
      </c>
      <c r="L123" t="s">
        <v>31</v>
      </c>
      <c r="M123" t="s">
        <v>345</v>
      </c>
      <c r="N123" t="s">
        <v>346</v>
      </c>
      <c r="O123" t="s">
        <v>31</v>
      </c>
      <c r="P123" t="s">
        <v>31</v>
      </c>
      <c r="Q123" t="s">
        <v>347</v>
      </c>
      <c r="R123" t="s">
        <v>348</v>
      </c>
      <c r="S123" t="s">
        <v>349</v>
      </c>
      <c r="T123" t="s">
        <v>197</v>
      </c>
      <c r="U123" t="s">
        <v>35</v>
      </c>
      <c r="V123" t="s">
        <v>119</v>
      </c>
    </row>
    <row r="124" spans="1:22" x14ac:dyDescent="0.25">
      <c r="A124" t="s">
        <v>22</v>
      </c>
      <c r="B124" t="s">
        <v>340</v>
      </c>
      <c r="C124" t="s">
        <v>341</v>
      </c>
      <c r="D124">
        <v>3</v>
      </c>
      <c r="E124" t="s">
        <v>342</v>
      </c>
      <c r="F124" t="s">
        <v>343</v>
      </c>
      <c r="G124" t="s">
        <v>351</v>
      </c>
      <c r="H124" t="s">
        <v>351</v>
      </c>
      <c r="I124" t="s">
        <v>345</v>
      </c>
      <c r="J124" t="s">
        <v>346</v>
      </c>
      <c r="K124" t="s">
        <v>31</v>
      </c>
      <c r="L124" t="s">
        <v>31</v>
      </c>
      <c r="M124" t="s">
        <v>345</v>
      </c>
      <c r="N124" t="s">
        <v>346</v>
      </c>
      <c r="O124" t="s">
        <v>31</v>
      </c>
      <c r="P124" t="s">
        <v>31</v>
      </c>
      <c r="Q124" t="s">
        <v>347</v>
      </c>
      <c r="R124" t="s">
        <v>348</v>
      </c>
      <c r="S124" t="s">
        <v>349</v>
      </c>
      <c r="T124" t="s">
        <v>197</v>
      </c>
      <c r="U124" t="s">
        <v>35</v>
      </c>
      <c r="V124" t="s">
        <v>119</v>
      </c>
    </row>
    <row r="125" spans="1:22" x14ac:dyDescent="0.25">
      <c r="A125" t="s">
        <v>22</v>
      </c>
      <c r="B125" t="s">
        <v>340</v>
      </c>
      <c r="C125" t="s">
        <v>341</v>
      </c>
      <c r="D125">
        <v>4</v>
      </c>
      <c r="E125" t="s">
        <v>342</v>
      </c>
      <c r="F125" t="s">
        <v>343</v>
      </c>
      <c r="G125" t="s">
        <v>352</v>
      </c>
      <c r="H125" t="s">
        <v>352</v>
      </c>
      <c r="I125" t="s">
        <v>345</v>
      </c>
      <c r="J125" t="s">
        <v>346</v>
      </c>
      <c r="K125" t="s">
        <v>31</v>
      </c>
      <c r="L125" t="s">
        <v>31</v>
      </c>
      <c r="M125" t="s">
        <v>345</v>
      </c>
      <c r="N125" t="s">
        <v>346</v>
      </c>
      <c r="O125" t="s">
        <v>31</v>
      </c>
      <c r="P125" t="s">
        <v>31</v>
      </c>
      <c r="Q125" t="s">
        <v>347</v>
      </c>
      <c r="R125" t="s">
        <v>348</v>
      </c>
      <c r="S125" t="s">
        <v>349</v>
      </c>
      <c r="T125" t="s">
        <v>197</v>
      </c>
      <c r="U125" t="s">
        <v>35</v>
      </c>
      <c r="V125" t="s">
        <v>119</v>
      </c>
    </row>
    <row r="126" spans="1:22" x14ac:dyDescent="0.25">
      <c r="A126" t="s">
        <v>22</v>
      </c>
      <c r="B126" t="s">
        <v>340</v>
      </c>
      <c r="C126" t="s">
        <v>341</v>
      </c>
      <c r="D126">
        <v>5</v>
      </c>
      <c r="E126" t="s">
        <v>342</v>
      </c>
      <c r="F126" t="s">
        <v>343</v>
      </c>
      <c r="G126" t="s">
        <v>353</v>
      </c>
      <c r="H126" t="s">
        <v>353</v>
      </c>
      <c r="I126" t="s">
        <v>345</v>
      </c>
      <c r="J126" t="s">
        <v>346</v>
      </c>
      <c r="K126" t="s">
        <v>31</v>
      </c>
      <c r="L126" t="s">
        <v>31</v>
      </c>
      <c r="M126" t="s">
        <v>345</v>
      </c>
      <c r="N126" t="s">
        <v>346</v>
      </c>
      <c r="O126" t="s">
        <v>31</v>
      </c>
      <c r="P126" t="s">
        <v>31</v>
      </c>
      <c r="Q126" t="s">
        <v>347</v>
      </c>
      <c r="R126" t="s">
        <v>348</v>
      </c>
      <c r="S126" t="s">
        <v>349</v>
      </c>
      <c r="T126" t="s">
        <v>197</v>
      </c>
      <c r="U126" t="s">
        <v>35</v>
      </c>
      <c r="V126" t="s">
        <v>119</v>
      </c>
    </row>
    <row r="127" spans="1:22" x14ac:dyDescent="0.25">
      <c r="A127" t="s">
        <v>22</v>
      </c>
      <c r="B127" t="s">
        <v>340</v>
      </c>
      <c r="C127" t="s">
        <v>341</v>
      </c>
      <c r="D127">
        <v>6</v>
      </c>
      <c r="E127" t="s">
        <v>342</v>
      </c>
      <c r="F127" t="s">
        <v>343</v>
      </c>
      <c r="G127" t="s">
        <v>354</v>
      </c>
      <c r="H127" t="s">
        <v>354</v>
      </c>
      <c r="I127" t="s">
        <v>345</v>
      </c>
      <c r="J127" t="s">
        <v>346</v>
      </c>
      <c r="K127" t="s">
        <v>31</v>
      </c>
      <c r="L127" t="s">
        <v>31</v>
      </c>
      <c r="M127" t="s">
        <v>345</v>
      </c>
      <c r="N127" t="s">
        <v>346</v>
      </c>
      <c r="O127" t="s">
        <v>31</v>
      </c>
      <c r="P127" t="s">
        <v>31</v>
      </c>
      <c r="Q127" t="s">
        <v>347</v>
      </c>
      <c r="R127" t="s">
        <v>348</v>
      </c>
      <c r="S127" t="s">
        <v>349</v>
      </c>
      <c r="T127" t="s">
        <v>197</v>
      </c>
      <c r="U127" t="s">
        <v>35</v>
      </c>
      <c r="V127" t="s">
        <v>119</v>
      </c>
    </row>
    <row r="128" spans="1:22" x14ac:dyDescent="0.25">
      <c r="A128" t="s">
        <v>22</v>
      </c>
      <c r="B128" t="s">
        <v>340</v>
      </c>
      <c r="C128" t="s">
        <v>341</v>
      </c>
      <c r="D128">
        <v>7</v>
      </c>
      <c r="E128" t="s">
        <v>342</v>
      </c>
      <c r="F128" t="s">
        <v>343</v>
      </c>
      <c r="G128" t="s">
        <v>355</v>
      </c>
      <c r="H128" t="s">
        <v>355</v>
      </c>
      <c r="I128" t="s">
        <v>345</v>
      </c>
      <c r="J128" t="s">
        <v>346</v>
      </c>
      <c r="K128" t="s">
        <v>31</v>
      </c>
      <c r="L128" t="s">
        <v>31</v>
      </c>
      <c r="M128" t="s">
        <v>345</v>
      </c>
      <c r="N128" t="s">
        <v>346</v>
      </c>
      <c r="O128" t="s">
        <v>31</v>
      </c>
      <c r="P128" t="s">
        <v>31</v>
      </c>
      <c r="Q128" t="s">
        <v>347</v>
      </c>
      <c r="R128" t="s">
        <v>348</v>
      </c>
      <c r="S128" t="s">
        <v>349</v>
      </c>
      <c r="T128" t="s">
        <v>197</v>
      </c>
      <c r="U128" t="s">
        <v>35</v>
      </c>
      <c r="V128" t="s">
        <v>119</v>
      </c>
    </row>
    <row r="129" spans="1:22" x14ac:dyDescent="0.25">
      <c r="A129" t="s">
        <v>22</v>
      </c>
      <c r="B129" t="s">
        <v>340</v>
      </c>
      <c r="C129" t="s">
        <v>341</v>
      </c>
      <c r="D129">
        <v>8</v>
      </c>
      <c r="E129" t="s">
        <v>342</v>
      </c>
      <c r="F129" t="s">
        <v>343</v>
      </c>
      <c r="G129" t="s">
        <v>356</v>
      </c>
      <c r="H129" t="s">
        <v>356</v>
      </c>
      <c r="I129" t="s">
        <v>345</v>
      </c>
      <c r="J129" t="s">
        <v>346</v>
      </c>
      <c r="K129" t="s">
        <v>31</v>
      </c>
      <c r="L129" t="s">
        <v>31</v>
      </c>
      <c r="M129" t="s">
        <v>345</v>
      </c>
      <c r="N129" t="s">
        <v>346</v>
      </c>
      <c r="O129" t="s">
        <v>31</v>
      </c>
      <c r="P129" t="s">
        <v>31</v>
      </c>
      <c r="Q129" t="s">
        <v>347</v>
      </c>
      <c r="R129" t="s">
        <v>348</v>
      </c>
      <c r="S129" t="s">
        <v>349</v>
      </c>
      <c r="T129" t="s">
        <v>197</v>
      </c>
      <c r="U129" t="s">
        <v>35</v>
      </c>
      <c r="V129" t="s">
        <v>119</v>
      </c>
    </row>
    <row r="130" spans="1:22" x14ac:dyDescent="0.25">
      <c r="A130" t="s">
        <v>22</v>
      </c>
      <c r="B130" t="s">
        <v>340</v>
      </c>
      <c r="C130" t="s">
        <v>341</v>
      </c>
      <c r="D130">
        <v>9</v>
      </c>
      <c r="E130" t="s">
        <v>342</v>
      </c>
      <c r="F130" t="s">
        <v>343</v>
      </c>
      <c r="G130" t="s">
        <v>357</v>
      </c>
      <c r="H130" t="s">
        <v>357</v>
      </c>
      <c r="I130" t="s">
        <v>345</v>
      </c>
      <c r="J130" t="s">
        <v>346</v>
      </c>
      <c r="K130" t="s">
        <v>31</v>
      </c>
      <c r="L130" t="s">
        <v>31</v>
      </c>
      <c r="M130" t="s">
        <v>345</v>
      </c>
      <c r="N130" t="s">
        <v>346</v>
      </c>
      <c r="O130" t="s">
        <v>31</v>
      </c>
      <c r="P130" t="s">
        <v>31</v>
      </c>
      <c r="Q130" t="s">
        <v>347</v>
      </c>
      <c r="R130" t="s">
        <v>348</v>
      </c>
      <c r="S130" t="s">
        <v>349</v>
      </c>
      <c r="T130" t="s">
        <v>197</v>
      </c>
      <c r="U130" t="s">
        <v>35</v>
      </c>
      <c r="V130" t="s">
        <v>119</v>
      </c>
    </row>
    <row r="131" spans="1:22" x14ac:dyDescent="0.25">
      <c r="A131" t="s">
        <v>22</v>
      </c>
      <c r="B131" t="s">
        <v>340</v>
      </c>
      <c r="C131" t="s">
        <v>341</v>
      </c>
      <c r="D131">
        <v>10</v>
      </c>
      <c r="E131" t="s">
        <v>342</v>
      </c>
      <c r="F131" t="s">
        <v>343</v>
      </c>
      <c r="G131" t="s">
        <v>358</v>
      </c>
      <c r="H131" t="s">
        <v>358</v>
      </c>
      <c r="I131" t="s">
        <v>359</v>
      </c>
      <c r="J131" t="s">
        <v>359</v>
      </c>
      <c r="K131" t="s">
        <v>31</v>
      </c>
      <c r="L131" t="s">
        <v>31</v>
      </c>
      <c r="M131" t="s">
        <v>359</v>
      </c>
      <c r="N131" t="s">
        <v>359</v>
      </c>
      <c r="O131" t="s">
        <v>31</v>
      </c>
      <c r="P131" t="s">
        <v>31</v>
      </c>
      <c r="Q131" t="s">
        <v>360</v>
      </c>
      <c r="R131" t="s">
        <v>360</v>
      </c>
      <c r="S131" t="s">
        <v>49</v>
      </c>
      <c r="T131" t="s">
        <v>35</v>
      </c>
      <c r="U131" t="s">
        <v>35</v>
      </c>
      <c r="V131" t="s">
        <v>49</v>
      </c>
    </row>
    <row r="132" spans="1:22" x14ac:dyDescent="0.25">
      <c r="A132" t="s">
        <v>22</v>
      </c>
      <c r="B132" t="s">
        <v>340</v>
      </c>
      <c r="C132" t="s">
        <v>361</v>
      </c>
      <c r="D132">
        <v>1</v>
      </c>
      <c r="E132" t="s">
        <v>362</v>
      </c>
      <c r="F132" t="s">
        <v>363</v>
      </c>
      <c r="G132" t="s">
        <v>364</v>
      </c>
      <c r="H132" t="s">
        <v>364</v>
      </c>
      <c r="I132" t="s">
        <v>365</v>
      </c>
      <c r="J132" t="s">
        <v>366</v>
      </c>
      <c r="K132" t="s">
        <v>367</v>
      </c>
      <c r="L132" t="s">
        <v>368</v>
      </c>
      <c r="M132" t="s">
        <v>365</v>
      </c>
      <c r="N132" t="s">
        <v>366</v>
      </c>
      <c r="O132" t="s">
        <v>367</v>
      </c>
      <c r="P132" t="s">
        <v>368</v>
      </c>
      <c r="Q132" t="s">
        <v>369</v>
      </c>
      <c r="R132" t="s">
        <v>370</v>
      </c>
      <c r="S132" t="s">
        <v>371</v>
      </c>
      <c r="T132" t="s">
        <v>197</v>
      </c>
      <c r="U132" t="s">
        <v>372</v>
      </c>
      <c r="V132" t="s">
        <v>373</v>
      </c>
    </row>
    <row r="133" spans="1:22" x14ac:dyDescent="0.25">
      <c r="A133" t="s">
        <v>22</v>
      </c>
      <c r="B133" t="s">
        <v>340</v>
      </c>
      <c r="C133" t="s">
        <v>361</v>
      </c>
      <c r="D133">
        <v>2</v>
      </c>
      <c r="E133" t="s">
        <v>362</v>
      </c>
      <c r="F133" t="s">
        <v>363</v>
      </c>
      <c r="G133" t="s">
        <v>374</v>
      </c>
      <c r="H133" t="s">
        <v>374</v>
      </c>
      <c r="I133" t="s">
        <v>365</v>
      </c>
      <c r="J133" t="s">
        <v>366</v>
      </c>
      <c r="K133" t="s">
        <v>367</v>
      </c>
      <c r="L133" t="s">
        <v>368</v>
      </c>
      <c r="M133" t="s">
        <v>365</v>
      </c>
      <c r="N133" t="s">
        <v>366</v>
      </c>
      <c r="O133" t="s">
        <v>367</v>
      </c>
      <c r="P133" t="s">
        <v>368</v>
      </c>
      <c r="Q133" t="s">
        <v>369</v>
      </c>
      <c r="R133" t="s">
        <v>370</v>
      </c>
      <c r="S133" t="s">
        <v>371</v>
      </c>
      <c r="T133" t="s">
        <v>197</v>
      </c>
      <c r="U133" t="s">
        <v>372</v>
      </c>
      <c r="V133" t="s">
        <v>373</v>
      </c>
    </row>
    <row r="134" spans="1:22" x14ac:dyDescent="0.25">
      <c r="A134" t="s">
        <v>22</v>
      </c>
      <c r="B134" t="s">
        <v>340</v>
      </c>
      <c r="C134" t="s">
        <v>361</v>
      </c>
      <c r="D134">
        <v>3</v>
      </c>
      <c r="E134" t="s">
        <v>362</v>
      </c>
      <c r="F134" t="s">
        <v>363</v>
      </c>
      <c r="G134" t="s">
        <v>375</v>
      </c>
      <c r="H134" t="s">
        <v>375</v>
      </c>
      <c r="I134" t="s">
        <v>365</v>
      </c>
      <c r="J134" t="s">
        <v>366</v>
      </c>
      <c r="K134" t="s">
        <v>367</v>
      </c>
      <c r="L134" t="s">
        <v>368</v>
      </c>
      <c r="M134" t="s">
        <v>365</v>
      </c>
      <c r="N134" t="s">
        <v>366</v>
      </c>
      <c r="O134" t="s">
        <v>367</v>
      </c>
      <c r="P134" t="s">
        <v>368</v>
      </c>
      <c r="Q134" t="s">
        <v>369</v>
      </c>
      <c r="R134" t="s">
        <v>370</v>
      </c>
      <c r="S134" t="s">
        <v>371</v>
      </c>
      <c r="T134" t="s">
        <v>197</v>
      </c>
      <c r="U134" t="s">
        <v>372</v>
      </c>
      <c r="V134" t="s">
        <v>373</v>
      </c>
    </row>
    <row r="135" spans="1:22" x14ac:dyDescent="0.25">
      <c r="A135" t="s">
        <v>22</v>
      </c>
      <c r="B135" t="s">
        <v>340</v>
      </c>
      <c r="C135" t="s">
        <v>361</v>
      </c>
      <c r="D135">
        <v>4</v>
      </c>
      <c r="E135" t="s">
        <v>362</v>
      </c>
      <c r="F135" t="s">
        <v>363</v>
      </c>
      <c r="G135" t="s">
        <v>376</v>
      </c>
      <c r="H135" t="s">
        <v>376</v>
      </c>
      <c r="I135" t="s">
        <v>365</v>
      </c>
      <c r="J135" t="s">
        <v>366</v>
      </c>
      <c r="K135" t="s">
        <v>367</v>
      </c>
      <c r="L135" t="s">
        <v>368</v>
      </c>
      <c r="M135" t="s">
        <v>365</v>
      </c>
      <c r="N135" t="s">
        <v>366</v>
      </c>
      <c r="O135" t="s">
        <v>367</v>
      </c>
      <c r="P135" t="s">
        <v>368</v>
      </c>
      <c r="Q135" t="s">
        <v>369</v>
      </c>
      <c r="R135" t="s">
        <v>370</v>
      </c>
      <c r="S135" t="s">
        <v>371</v>
      </c>
      <c r="T135" t="s">
        <v>197</v>
      </c>
      <c r="U135" t="s">
        <v>372</v>
      </c>
      <c r="V135" t="s">
        <v>373</v>
      </c>
    </row>
    <row r="136" spans="1:22" x14ac:dyDescent="0.25">
      <c r="A136" t="s">
        <v>22</v>
      </c>
      <c r="B136" t="s">
        <v>340</v>
      </c>
      <c r="C136" t="s">
        <v>361</v>
      </c>
      <c r="D136">
        <v>5</v>
      </c>
      <c r="E136" t="s">
        <v>362</v>
      </c>
      <c r="F136" t="s">
        <v>363</v>
      </c>
      <c r="G136" t="s">
        <v>377</v>
      </c>
      <c r="H136" t="s">
        <v>377</v>
      </c>
      <c r="I136" t="s">
        <v>365</v>
      </c>
      <c r="J136" t="s">
        <v>366</v>
      </c>
      <c r="K136" t="s">
        <v>367</v>
      </c>
      <c r="L136" t="s">
        <v>368</v>
      </c>
      <c r="M136" t="s">
        <v>365</v>
      </c>
      <c r="N136" t="s">
        <v>366</v>
      </c>
      <c r="O136" t="s">
        <v>367</v>
      </c>
      <c r="P136" t="s">
        <v>368</v>
      </c>
      <c r="Q136" t="s">
        <v>369</v>
      </c>
      <c r="R136" t="s">
        <v>370</v>
      </c>
      <c r="S136" t="s">
        <v>371</v>
      </c>
      <c r="T136" t="s">
        <v>197</v>
      </c>
      <c r="U136" t="s">
        <v>372</v>
      </c>
      <c r="V136" t="s">
        <v>373</v>
      </c>
    </row>
    <row r="137" spans="1:22" x14ac:dyDescent="0.25">
      <c r="A137" t="s">
        <v>22</v>
      </c>
      <c r="B137" t="s">
        <v>340</v>
      </c>
      <c r="C137" t="s">
        <v>361</v>
      </c>
      <c r="D137">
        <v>6</v>
      </c>
      <c r="E137" t="s">
        <v>362</v>
      </c>
      <c r="F137" t="s">
        <v>363</v>
      </c>
      <c r="G137" t="s">
        <v>378</v>
      </c>
      <c r="H137" t="s">
        <v>378</v>
      </c>
      <c r="I137" t="s">
        <v>365</v>
      </c>
      <c r="J137" t="s">
        <v>366</v>
      </c>
      <c r="K137" t="s">
        <v>367</v>
      </c>
      <c r="L137" t="s">
        <v>368</v>
      </c>
      <c r="M137" t="s">
        <v>365</v>
      </c>
      <c r="N137" t="s">
        <v>366</v>
      </c>
      <c r="O137" t="s">
        <v>367</v>
      </c>
      <c r="P137" t="s">
        <v>368</v>
      </c>
      <c r="Q137" t="s">
        <v>369</v>
      </c>
      <c r="R137" t="s">
        <v>370</v>
      </c>
      <c r="S137" t="s">
        <v>371</v>
      </c>
      <c r="T137" t="s">
        <v>197</v>
      </c>
      <c r="U137" t="s">
        <v>372</v>
      </c>
      <c r="V137" t="s">
        <v>373</v>
      </c>
    </row>
    <row r="138" spans="1:22" x14ac:dyDescent="0.25">
      <c r="A138" t="s">
        <v>22</v>
      </c>
      <c r="B138" t="s">
        <v>340</v>
      </c>
      <c r="C138" t="s">
        <v>361</v>
      </c>
      <c r="D138">
        <v>7</v>
      </c>
      <c r="E138" t="s">
        <v>362</v>
      </c>
      <c r="F138" t="s">
        <v>363</v>
      </c>
      <c r="G138" t="s">
        <v>379</v>
      </c>
      <c r="H138" t="s">
        <v>379</v>
      </c>
      <c r="I138" t="s">
        <v>365</v>
      </c>
      <c r="J138" t="s">
        <v>366</v>
      </c>
      <c r="K138" t="s">
        <v>367</v>
      </c>
      <c r="L138" t="s">
        <v>368</v>
      </c>
      <c r="M138" t="s">
        <v>365</v>
      </c>
      <c r="N138" t="s">
        <v>366</v>
      </c>
      <c r="O138" t="s">
        <v>367</v>
      </c>
      <c r="P138" t="s">
        <v>368</v>
      </c>
      <c r="Q138" t="s">
        <v>369</v>
      </c>
      <c r="R138" t="s">
        <v>370</v>
      </c>
      <c r="S138" t="s">
        <v>371</v>
      </c>
      <c r="T138" t="s">
        <v>197</v>
      </c>
      <c r="U138" t="s">
        <v>372</v>
      </c>
      <c r="V138" t="s">
        <v>373</v>
      </c>
    </row>
    <row r="139" spans="1:22" x14ac:dyDescent="0.25">
      <c r="A139" t="s">
        <v>22</v>
      </c>
      <c r="B139" t="s">
        <v>340</v>
      </c>
      <c r="C139" t="s">
        <v>361</v>
      </c>
      <c r="D139">
        <v>8</v>
      </c>
      <c r="E139" t="s">
        <v>362</v>
      </c>
      <c r="F139" t="s">
        <v>363</v>
      </c>
      <c r="G139" t="s">
        <v>380</v>
      </c>
      <c r="H139" t="s">
        <v>380</v>
      </c>
      <c r="I139" t="s">
        <v>365</v>
      </c>
      <c r="J139" t="s">
        <v>366</v>
      </c>
      <c r="K139" t="s">
        <v>367</v>
      </c>
      <c r="L139" t="s">
        <v>368</v>
      </c>
      <c r="M139" t="s">
        <v>365</v>
      </c>
      <c r="N139" t="s">
        <v>366</v>
      </c>
      <c r="O139" t="s">
        <v>367</v>
      </c>
      <c r="P139" t="s">
        <v>368</v>
      </c>
      <c r="Q139" t="s">
        <v>369</v>
      </c>
      <c r="R139" t="s">
        <v>370</v>
      </c>
      <c r="S139" t="s">
        <v>371</v>
      </c>
      <c r="T139" t="s">
        <v>197</v>
      </c>
      <c r="U139" t="s">
        <v>372</v>
      </c>
      <c r="V139" t="s">
        <v>373</v>
      </c>
    </row>
    <row r="140" spans="1:22" x14ac:dyDescent="0.25">
      <c r="A140" t="s">
        <v>22</v>
      </c>
      <c r="B140" t="s">
        <v>340</v>
      </c>
      <c r="C140" t="s">
        <v>361</v>
      </c>
      <c r="D140">
        <v>9</v>
      </c>
      <c r="E140" t="s">
        <v>362</v>
      </c>
      <c r="F140" t="s">
        <v>363</v>
      </c>
      <c r="G140" t="s">
        <v>379</v>
      </c>
      <c r="H140" t="s">
        <v>379</v>
      </c>
      <c r="I140" t="s">
        <v>365</v>
      </c>
      <c r="J140" t="s">
        <v>366</v>
      </c>
      <c r="K140" t="s">
        <v>367</v>
      </c>
      <c r="L140" t="s">
        <v>368</v>
      </c>
      <c r="M140" t="s">
        <v>365</v>
      </c>
      <c r="N140" t="s">
        <v>366</v>
      </c>
      <c r="O140" t="s">
        <v>367</v>
      </c>
      <c r="P140" t="s">
        <v>368</v>
      </c>
      <c r="Q140" t="s">
        <v>369</v>
      </c>
      <c r="R140" t="s">
        <v>370</v>
      </c>
      <c r="S140" t="s">
        <v>371</v>
      </c>
      <c r="T140" t="s">
        <v>197</v>
      </c>
      <c r="U140" t="s">
        <v>372</v>
      </c>
      <c r="V140" t="s">
        <v>373</v>
      </c>
    </row>
    <row r="141" spans="1:22" x14ac:dyDescent="0.25">
      <c r="A141" t="s">
        <v>22</v>
      </c>
      <c r="B141" t="s">
        <v>340</v>
      </c>
      <c r="C141" t="s">
        <v>361</v>
      </c>
      <c r="D141">
        <v>10</v>
      </c>
      <c r="E141" t="s">
        <v>362</v>
      </c>
      <c r="F141" t="s">
        <v>363</v>
      </c>
      <c r="G141" t="s">
        <v>381</v>
      </c>
      <c r="H141" t="s">
        <v>381</v>
      </c>
      <c r="I141" t="s">
        <v>382</v>
      </c>
      <c r="J141" t="s">
        <v>382</v>
      </c>
      <c r="K141" t="s">
        <v>368</v>
      </c>
      <c r="L141" t="s">
        <v>368</v>
      </c>
      <c r="M141" t="s">
        <v>382</v>
      </c>
      <c r="N141" t="s">
        <v>382</v>
      </c>
      <c r="O141" t="s">
        <v>368</v>
      </c>
      <c r="P141" t="s">
        <v>368</v>
      </c>
      <c r="Q141" t="s">
        <v>383</v>
      </c>
      <c r="R141" t="s">
        <v>383</v>
      </c>
      <c r="S141" t="s">
        <v>49</v>
      </c>
      <c r="T141" t="s">
        <v>372</v>
      </c>
      <c r="U141" t="s">
        <v>372</v>
      </c>
      <c r="V141" t="s">
        <v>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DF5E8-7E1B-4EFE-A8C3-549D7D129A11}">
  <dimension ref="A1"/>
  <sheetViews>
    <sheetView topLeftCell="G1"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1FE32-E523-4BDA-96CC-89B7EE44B865}">
  <dimension ref="A1:G140"/>
  <sheetViews>
    <sheetView zoomScale="70" zoomScaleNormal="70" workbookViewId="0">
      <selection activeCell="C38" sqref="A1:G140"/>
    </sheetView>
  </sheetViews>
  <sheetFormatPr defaultRowHeight="15" x14ac:dyDescent="0.25"/>
  <cols>
    <col min="2" max="2" width="42.85546875" customWidth="1"/>
    <col min="3" max="3" width="20.7109375" customWidth="1"/>
    <col min="4" max="4" width="22.140625" customWidth="1"/>
    <col min="5" max="6" width="9.140625" style="14"/>
  </cols>
  <sheetData>
    <row r="1" spans="1:7" x14ac:dyDescent="0.25">
      <c r="A1" s="6" t="s">
        <v>22</v>
      </c>
      <c r="B1" s="3" t="s">
        <v>384</v>
      </c>
      <c r="C1" s="3" t="s">
        <v>24</v>
      </c>
      <c r="D1" s="3">
        <v>1</v>
      </c>
      <c r="E1" s="24" t="s">
        <v>25</v>
      </c>
      <c r="F1" s="24" t="s">
        <v>26</v>
      </c>
      <c r="G1" s="3" t="s">
        <v>27</v>
      </c>
    </row>
    <row r="2" spans="1:7" x14ac:dyDescent="0.25">
      <c r="A2" s="8" t="s">
        <v>22</v>
      </c>
      <c r="B2" s="4" t="s">
        <v>384</v>
      </c>
      <c r="C2" s="4" t="s">
        <v>24</v>
      </c>
      <c r="D2" s="4">
        <v>2</v>
      </c>
      <c r="E2" s="25"/>
      <c r="F2" s="25"/>
      <c r="G2" s="4" t="s">
        <v>38</v>
      </c>
    </row>
    <row r="3" spans="1:7" x14ac:dyDescent="0.25">
      <c r="A3" s="6" t="s">
        <v>22</v>
      </c>
      <c r="B3" s="3" t="s">
        <v>384</v>
      </c>
      <c r="C3" s="3" t="s">
        <v>24</v>
      </c>
      <c r="D3" s="3">
        <v>3</v>
      </c>
      <c r="E3" s="25"/>
      <c r="F3" s="25"/>
      <c r="G3" s="3" t="s">
        <v>39</v>
      </c>
    </row>
    <row r="4" spans="1:7" x14ac:dyDescent="0.25">
      <c r="A4" s="8" t="s">
        <v>22</v>
      </c>
      <c r="B4" s="4" t="s">
        <v>384</v>
      </c>
      <c r="C4" s="4" t="s">
        <v>24</v>
      </c>
      <c r="D4" s="4">
        <v>4</v>
      </c>
      <c r="E4" s="25"/>
      <c r="F4" s="25"/>
      <c r="G4" s="4" t="s">
        <v>40</v>
      </c>
    </row>
    <row r="5" spans="1:7" x14ac:dyDescent="0.25">
      <c r="A5" s="6" t="s">
        <v>22</v>
      </c>
      <c r="B5" s="3" t="s">
        <v>384</v>
      </c>
      <c r="C5" s="3" t="s">
        <v>24</v>
      </c>
      <c r="D5" s="3">
        <v>5</v>
      </c>
      <c r="E5" s="25"/>
      <c r="F5" s="25"/>
      <c r="G5" s="3" t="s">
        <v>41</v>
      </c>
    </row>
    <row r="6" spans="1:7" x14ac:dyDescent="0.25">
      <c r="A6" s="8" t="s">
        <v>22</v>
      </c>
      <c r="B6" s="4" t="s">
        <v>384</v>
      </c>
      <c r="C6" s="4" t="s">
        <v>24</v>
      </c>
      <c r="D6" s="4">
        <v>6</v>
      </c>
      <c r="E6" s="25"/>
      <c r="F6" s="25"/>
      <c r="G6" s="4" t="s">
        <v>42</v>
      </c>
    </row>
    <row r="7" spans="1:7" x14ac:dyDescent="0.25">
      <c r="A7" s="6" t="s">
        <v>22</v>
      </c>
      <c r="B7" s="3" t="s">
        <v>384</v>
      </c>
      <c r="C7" s="3" t="s">
        <v>24</v>
      </c>
      <c r="D7" s="3">
        <v>7</v>
      </c>
      <c r="E7" s="25"/>
      <c r="F7" s="25"/>
      <c r="G7" s="3" t="s">
        <v>43</v>
      </c>
    </row>
    <row r="8" spans="1:7" x14ac:dyDescent="0.25">
      <c r="A8" s="8" t="s">
        <v>22</v>
      </c>
      <c r="B8" s="4" t="s">
        <v>384</v>
      </c>
      <c r="C8" s="4" t="s">
        <v>24</v>
      </c>
      <c r="D8" s="4">
        <v>8</v>
      </c>
      <c r="E8" s="25"/>
      <c r="F8" s="25"/>
      <c r="G8" s="4" t="s">
        <v>44</v>
      </c>
    </row>
    <row r="9" spans="1:7" x14ac:dyDescent="0.25">
      <c r="A9" s="6" t="s">
        <v>22</v>
      </c>
      <c r="B9" s="3" t="s">
        <v>384</v>
      </c>
      <c r="C9" s="3" t="s">
        <v>24</v>
      </c>
      <c r="D9" s="3">
        <v>9</v>
      </c>
      <c r="E9" s="25"/>
      <c r="F9" s="25"/>
      <c r="G9" s="3" t="s">
        <v>45</v>
      </c>
    </row>
    <row r="10" spans="1:7" x14ac:dyDescent="0.25">
      <c r="A10" s="8" t="s">
        <v>22</v>
      </c>
      <c r="B10" s="4" t="s">
        <v>384</v>
      </c>
      <c r="C10" s="4" t="s">
        <v>24</v>
      </c>
      <c r="D10" s="4">
        <v>10</v>
      </c>
      <c r="E10" s="26"/>
      <c r="F10" s="26"/>
      <c r="G10" s="4" t="s">
        <v>46</v>
      </c>
    </row>
    <row r="11" spans="1:7" x14ac:dyDescent="0.25">
      <c r="A11" s="6" t="s">
        <v>22</v>
      </c>
      <c r="B11" s="3" t="s">
        <v>384</v>
      </c>
      <c r="C11" s="3" t="s">
        <v>50</v>
      </c>
      <c r="D11" s="3">
        <v>1</v>
      </c>
      <c r="E11" s="24" t="s">
        <v>51</v>
      </c>
      <c r="F11" s="24" t="s">
        <v>52</v>
      </c>
      <c r="G11" s="3" t="s">
        <v>53</v>
      </c>
    </row>
    <row r="12" spans="1:7" x14ac:dyDescent="0.25">
      <c r="A12" s="8" t="s">
        <v>22</v>
      </c>
      <c r="B12" s="4" t="s">
        <v>384</v>
      </c>
      <c r="C12" s="4" t="s">
        <v>50</v>
      </c>
      <c r="D12" s="4">
        <v>2</v>
      </c>
      <c r="E12" s="25"/>
      <c r="F12" s="25"/>
      <c r="G12" s="4" t="s">
        <v>63</v>
      </c>
    </row>
    <row r="13" spans="1:7" x14ac:dyDescent="0.25">
      <c r="A13" s="6" t="s">
        <v>22</v>
      </c>
      <c r="B13" s="3" t="s">
        <v>384</v>
      </c>
      <c r="C13" s="3" t="s">
        <v>50</v>
      </c>
      <c r="D13" s="3">
        <v>3</v>
      </c>
      <c r="E13" s="25"/>
      <c r="F13" s="25"/>
      <c r="G13" s="3" t="s">
        <v>64</v>
      </c>
    </row>
    <row r="14" spans="1:7" x14ac:dyDescent="0.25">
      <c r="A14" s="8" t="s">
        <v>22</v>
      </c>
      <c r="B14" s="4" t="s">
        <v>384</v>
      </c>
      <c r="C14" s="4" t="s">
        <v>50</v>
      </c>
      <c r="D14" s="4">
        <v>4</v>
      </c>
      <c r="E14" s="25"/>
      <c r="F14" s="25"/>
      <c r="G14" s="4" t="s">
        <v>65</v>
      </c>
    </row>
    <row r="15" spans="1:7" x14ac:dyDescent="0.25">
      <c r="A15" s="6" t="s">
        <v>22</v>
      </c>
      <c r="B15" s="3" t="s">
        <v>384</v>
      </c>
      <c r="C15" s="3" t="s">
        <v>50</v>
      </c>
      <c r="D15" s="3">
        <v>5</v>
      </c>
      <c r="E15" s="25"/>
      <c r="F15" s="25"/>
      <c r="G15" s="3" t="s">
        <v>66</v>
      </c>
    </row>
    <row r="16" spans="1:7" x14ac:dyDescent="0.25">
      <c r="A16" s="8" t="s">
        <v>22</v>
      </c>
      <c r="B16" s="4" t="s">
        <v>384</v>
      </c>
      <c r="C16" s="4" t="s">
        <v>50</v>
      </c>
      <c r="D16" s="4">
        <v>6</v>
      </c>
      <c r="E16" s="25"/>
      <c r="F16" s="25"/>
      <c r="G16" s="4" t="s">
        <v>67</v>
      </c>
    </row>
    <row r="17" spans="1:7" x14ac:dyDescent="0.25">
      <c r="A17" s="6" t="s">
        <v>22</v>
      </c>
      <c r="B17" s="3" t="s">
        <v>384</v>
      </c>
      <c r="C17" s="3" t="s">
        <v>50</v>
      </c>
      <c r="D17" s="3">
        <v>7</v>
      </c>
      <c r="E17" s="25"/>
      <c r="F17" s="25"/>
      <c r="G17" s="3" t="s">
        <v>68</v>
      </c>
    </row>
    <row r="18" spans="1:7" x14ac:dyDescent="0.25">
      <c r="A18" s="8" t="s">
        <v>22</v>
      </c>
      <c r="B18" s="4" t="s">
        <v>384</v>
      </c>
      <c r="C18" s="4" t="s">
        <v>50</v>
      </c>
      <c r="D18" s="4">
        <v>8</v>
      </c>
      <c r="E18" s="25"/>
      <c r="F18" s="25"/>
      <c r="G18" s="4" t="s">
        <v>69</v>
      </c>
    </row>
    <row r="19" spans="1:7" x14ac:dyDescent="0.25">
      <c r="A19" s="6" t="s">
        <v>22</v>
      </c>
      <c r="B19" s="3" t="s">
        <v>384</v>
      </c>
      <c r="C19" s="3" t="s">
        <v>50</v>
      </c>
      <c r="D19" s="3">
        <v>9</v>
      </c>
      <c r="E19" s="25"/>
      <c r="F19" s="25"/>
      <c r="G19" s="3" t="s">
        <v>70</v>
      </c>
    </row>
    <row r="20" spans="1:7" x14ac:dyDescent="0.25">
      <c r="A20" s="8" t="s">
        <v>22</v>
      </c>
      <c r="B20" s="4" t="s">
        <v>384</v>
      </c>
      <c r="C20" s="4" t="s">
        <v>50</v>
      </c>
      <c r="D20" s="4">
        <v>10</v>
      </c>
      <c r="E20" s="26"/>
      <c r="F20" s="26"/>
      <c r="G20" s="4" t="s">
        <v>71</v>
      </c>
    </row>
    <row r="21" spans="1:7" x14ac:dyDescent="0.25">
      <c r="A21" s="6" t="s">
        <v>22</v>
      </c>
      <c r="B21" s="3" t="s">
        <v>384</v>
      </c>
      <c r="C21" s="3" t="s">
        <v>75</v>
      </c>
      <c r="D21" s="3">
        <v>1</v>
      </c>
      <c r="E21" s="24" t="s">
        <v>76</v>
      </c>
      <c r="F21" s="24" t="s">
        <v>77</v>
      </c>
      <c r="G21" s="3" t="s">
        <v>78</v>
      </c>
    </row>
    <row r="22" spans="1:7" x14ac:dyDescent="0.25">
      <c r="A22" s="8" t="s">
        <v>22</v>
      </c>
      <c r="B22" s="4" t="s">
        <v>384</v>
      </c>
      <c r="C22" s="4" t="s">
        <v>75</v>
      </c>
      <c r="D22" s="4">
        <v>2</v>
      </c>
      <c r="E22" s="25"/>
      <c r="F22" s="25"/>
      <c r="G22" s="4" t="s">
        <v>89</v>
      </c>
    </row>
    <row r="23" spans="1:7" x14ac:dyDescent="0.25">
      <c r="A23" s="6" t="s">
        <v>22</v>
      </c>
      <c r="B23" s="3" t="s">
        <v>384</v>
      </c>
      <c r="C23" s="3" t="s">
        <v>75</v>
      </c>
      <c r="D23" s="3">
        <v>3</v>
      </c>
      <c r="E23" s="25"/>
      <c r="F23" s="25"/>
      <c r="G23" s="3" t="s">
        <v>99</v>
      </c>
    </row>
    <row r="24" spans="1:7" x14ac:dyDescent="0.25">
      <c r="A24" s="8" t="s">
        <v>22</v>
      </c>
      <c r="B24" s="4" t="s">
        <v>384</v>
      </c>
      <c r="C24" s="4" t="s">
        <v>75</v>
      </c>
      <c r="D24" s="4">
        <v>4</v>
      </c>
      <c r="E24" s="25"/>
      <c r="F24" s="25"/>
      <c r="G24" s="4" t="s">
        <v>100</v>
      </c>
    </row>
    <row r="25" spans="1:7" x14ac:dyDescent="0.25">
      <c r="A25" s="6" t="s">
        <v>22</v>
      </c>
      <c r="B25" s="3" t="s">
        <v>384</v>
      </c>
      <c r="C25" s="3" t="s">
        <v>75</v>
      </c>
      <c r="D25" s="3">
        <v>5</v>
      </c>
      <c r="E25" s="25"/>
      <c r="F25" s="25"/>
      <c r="G25" s="3" t="s">
        <v>101</v>
      </c>
    </row>
    <row r="26" spans="1:7" x14ac:dyDescent="0.25">
      <c r="A26" s="8" t="s">
        <v>22</v>
      </c>
      <c r="B26" s="4" t="s">
        <v>384</v>
      </c>
      <c r="C26" s="4" t="s">
        <v>75</v>
      </c>
      <c r="D26" s="4">
        <v>6</v>
      </c>
      <c r="E26" s="25"/>
      <c r="F26" s="25"/>
      <c r="G26" s="4" t="s">
        <v>102</v>
      </c>
    </row>
    <row r="27" spans="1:7" x14ac:dyDescent="0.25">
      <c r="A27" s="6" t="s">
        <v>22</v>
      </c>
      <c r="B27" s="3" t="s">
        <v>384</v>
      </c>
      <c r="C27" s="3" t="s">
        <v>75</v>
      </c>
      <c r="D27" s="3">
        <v>7</v>
      </c>
      <c r="E27" s="25"/>
      <c r="F27" s="25"/>
      <c r="G27" s="3" t="s">
        <v>103</v>
      </c>
    </row>
    <row r="28" spans="1:7" x14ac:dyDescent="0.25">
      <c r="A28" s="8" t="s">
        <v>22</v>
      </c>
      <c r="B28" s="4" t="s">
        <v>384</v>
      </c>
      <c r="C28" s="4" t="s">
        <v>75</v>
      </c>
      <c r="D28" s="4">
        <v>8</v>
      </c>
      <c r="E28" s="25"/>
      <c r="F28" s="25"/>
      <c r="G28" s="4" t="s">
        <v>104</v>
      </c>
    </row>
    <row r="29" spans="1:7" x14ac:dyDescent="0.25">
      <c r="A29" s="6" t="s">
        <v>22</v>
      </c>
      <c r="B29" s="3" t="s">
        <v>384</v>
      </c>
      <c r="C29" s="3" t="s">
        <v>75</v>
      </c>
      <c r="D29" s="3">
        <v>9</v>
      </c>
      <c r="E29" s="25"/>
      <c r="F29" s="25"/>
      <c r="G29" s="3" t="s">
        <v>105</v>
      </c>
    </row>
    <row r="30" spans="1:7" x14ac:dyDescent="0.25">
      <c r="A30" s="8" t="s">
        <v>22</v>
      </c>
      <c r="B30" s="4" t="s">
        <v>384</v>
      </c>
      <c r="C30" s="4" t="s">
        <v>75</v>
      </c>
      <c r="D30" s="4">
        <v>10</v>
      </c>
      <c r="E30" s="26"/>
      <c r="F30" s="26"/>
      <c r="G30" s="4" t="s">
        <v>106</v>
      </c>
    </row>
    <row r="31" spans="1:7" x14ac:dyDescent="0.25">
      <c r="A31" s="6" t="s">
        <v>22</v>
      </c>
      <c r="B31" s="3" t="s">
        <v>385</v>
      </c>
      <c r="C31" s="3" t="s">
        <v>24</v>
      </c>
      <c r="D31" s="3">
        <v>1</v>
      </c>
      <c r="E31" s="24" t="s">
        <v>109</v>
      </c>
      <c r="F31" s="24" t="s">
        <v>110</v>
      </c>
      <c r="G31" s="3" t="s">
        <v>111</v>
      </c>
    </row>
    <row r="32" spans="1:7" x14ac:dyDescent="0.25">
      <c r="A32" s="8" t="s">
        <v>22</v>
      </c>
      <c r="B32" s="4" t="s">
        <v>385</v>
      </c>
      <c r="C32" s="4" t="s">
        <v>24</v>
      </c>
      <c r="D32" s="4">
        <v>2</v>
      </c>
      <c r="E32" s="25"/>
      <c r="F32" s="25"/>
      <c r="G32" s="4" t="s">
        <v>120</v>
      </c>
    </row>
    <row r="33" spans="1:7" x14ac:dyDescent="0.25">
      <c r="A33" s="6" t="s">
        <v>22</v>
      </c>
      <c r="B33" s="3" t="s">
        <v>385</v>
      </c>
      <c r="C33" s="3" t="s">
        <v>24</v>
      </c>
      <c r="D33" s="3">
        <v>3</v>
      </c>
      <c r="E33" s="25"/>
      <c r="F33" s="25"/>
      <c r="G33" s="3" t="s">
        <v>121</v>
      </c>
    </row>
    <row r="34" spans="1:7" x14ac:dyDescent="0.25">
      <c r="A34" s="8" t="s">
        <v>22</v>
      </c>
      <c r="B34" s="4" t="s">
        <v>385</v>
      </c>
      <c r="C34" s="4" t="s">
        <v>24</v>
      </c>
      <c r="D34" s="4">
        <v>4</v>
      </c>
      <c r="E34" s="25"/>
      <c r="F34" s="25"/>
      <c r="G34" s="4" t="s">
        <v>122</v>
      </c>
    </row>
    <row r="35" spans="1:7" x14ac:dyDescent="0.25">
      <c r="A35" s="6" t="s">
        <v>22</v>
      </c>
      <c r="B35" s="3" t="s">
        <v>385</v>
      </c>
      <c r="C35" s="3" t="s">
        <v>24</v>
      </c>
      <c r="D35" s="3">
        <v>5</v>
      </c>
      <c r="E35" s="25"/>
      <c r="F35" s="25"/>
      <c r="G35" s="3" t="s">
        <v>123</v>
      </c>
    </row>
    <row r="36" spans="1:7" x14ac:dyDescent="0.25">
      <c r="A36" s="8" t="s">
        <v>22</v>
      </c>
      <c r="B36" s="4" t="s">
        <v>385</v>
      </c>
      <c r="C36" s="4" t="s">
        <v>24</v>
      </c>
      <c r="D36" s="4">
        <v>6</v>
      </c>
      <c r="E36" s="25"/>
      <c r="F36" s="25"/>
      <c r="G36" s="4" t="s">
        <v>124</v>
      </c>
    </row>
    <row r="37" spans="1:7" x14ac:dyDescent="0.25">
      <c r="A37" s="6" t="s">
        <v>22</v>
      </c>
      <c r="B37" s="3" t="s">
        <v>385</v>
      </c>
      <c r="C37" s="3" t="s">
        <v>24</v>
      </c>
      <c r="D37" s="3">
        <v>7</v>
      </c>
      <c r="E37" s="25"/>
      <c r="F37" s="25"/>
      <c r="G37" s="3" t="s">
        <v>125</v>
      </c>
    </row>
    <row r="38" spans="1:7" x14ac:dyDescent="0.25">
      <c r="A38" s="8" t="s">
        <v>22</v>
      </c>
      <c r="B38" s="4" t="s">
        <v>385</v>
      </c>
      <c r="C38" s="4" t="s">
        <v>24</v>
      </c>
      <c r="D38" s="4">
        <v>8</v>
      </c>
      <c r="E38" s="25"/>
      <c r="F38" s="25"/>
      <c r="G38" s="4" t="s">
        <v>126</v>
      </c>
    </row>
    <row r="39" spans="1:7" x14ac:dyDescent="0.25">
      <c r="A39" s="6" t="s">
        <v>22</v>
      </c>
      <c r="B39" s="3" t="s">
        <v>385</v>
      </c>
      <c r="C39" s="3" t="s">
        <v>24</v>
      </c>
      <c r="D39" s="3">
        <v>9</v>
      </c>
      <c r="E39" s="25"/>
      <c r="F39" s="25"/>
      <c r="G39" s="3" t="s">
        <v>127</v>
      </c>
    </row>
    <row r="40" spans="1:7" x14ac:dyDescent="0.25">
      <c r="A40" s="8" t="s">
        <v>22</v>
      </c>
      <c r="B40" s="4" t="s">
        <v>385</v>
      </c>
      <c r="C40" s="4" t="s">
        <v>24</v>
      </c>
      <c r="D40" s="4">
        <v>10</v>
      </c>
      <c r="E40" s="26"/>
      <c r="F40" s="26"/>
      <c r="G40" s="4" t="s">
        <v>128</v>
      </c>
    </row>
    <row r="41" spans="1:7" x14ac:dyDescent="0.25">
      <c r="A41" s="6" t="s">
        <v>22</v>
      </c>
      <c r="B41" s="3" t="s">
        <v>385</v>
      </c>
      <c r="C41" s="3" t="s">
        <v>50</v>
      </c>
      <c r="D41" s="3">
        <v>1</v>
      </c>
      <c r="E41" s="24" t="s">
        <v>132</v>
      </c>
      <c r="F41" s="24" t="s">
        <v>133</v>
      </c>
      <c r="G41" s="3" t="s">
        <v>134</v>
      </c>
    </row>
    <row r="42" spans="1:7" x14ac:dyDescent="0.25">
      <c r="A42" s="8" t="s">
        <v>22</v>
      </c>
      <c r="B42" s="4" t="s">
        <v>385</v>
      </c>
      <c r="C42" s="4" t="s">
        <v>50</v>
      </c>
      <c r="D42" s="4">
        <v>2</v>
      </c>
      <c r="E42" s="25"/>
      <c r="F42" s="25"/>
      <c r="G42" s="4" t="s">
        <v>142</v>
      </c>
    </row>
    <row r="43" spans="1:7" x14ac:dyDescent="0.25">
      <c r="A43" s="6" t="s">
        <v>22</v>
      </c>
      <c r="B43" s="3" t="s">
        <v>385</v>
      </c>
      <c r="C43" s="3" t="s">
        <v>50</v>
      </c>
      <c r="D43" s="3">
        <v>3</v>
      </c>
      <c r="E43" s="25"/>
      <c r="F43" s="25"/>
      <c r="G43" s="3" t="s">
        <v>143</v>
      </c>
    </row>
    <row r="44" spans="1:7" x14ac:dyDescent="0.25">
      <c r="A44" s="8" t="s">
        <v>22</v>
      </c>
      <c r="B44" s="4" t="s">
        <v>385</v>
      </c>
      <c r="C44" s="4" t="s">
        <v>50</v>
      </c>
      <c r="D44" s="4">
        <v>4</v>
      </c>
      <c r="E44" s="25"/>
      <c r="F44" s="25"/>
      <c r="G44" s="4" t="s">
        <v>144</v>
      </c>
    </row>
    <row r="45" spans="1:7" x14ac:dyDescent="0.25">
      <c r="A45" s="6" t="s">
        <v>22</v>
      </c>
      <c r="B45" s="3" t="s">
        <v>385</v>
      </c>
      <c r="C45" s="3" t="s">
        <v>50</v>
      </c>
      <c r="D45" s="3">
        <v>5</v>
      </c>
      <c r="E45" s="25"/>
      <c r="F45" s="25"/>
      <c r="G45" s="3" t="s">
        <v>145</v>
      </c>
    </row>
    <row r="46" spans="1:7" x14ac:dyDescent="0.25">
      <c r="A46" s="8" t="s">
        <v>22</v>
      </c>
      <c r="B46" s="4" t="s">
        <v>385</v>
      </c>
      <c r="C46" s="4" t="s">
        <v>50</v>
      </c>
      <c r="D46" s="4">
        <v>6</v>
      </c>
      <c r="E46" s="25"/>
      <c r="F46" s="25"/>
      <c r="G46" s="4" t="s">
        <v>146</v>
      </c>
    </row>
    <row r="47" spans="1:7" x14ac:dyDescent="0.25">
      <c r="A47" s="6" t="s">
        <v>22</v>
      </c>
      <c r="B47" s="3" t="s">
        <v>385</v>
      </c>
      <c r="C47" s="3" t="s">
        <v>50</v>
      </c>
      <c r="D47" s="3">
        <v>7</v>
      </c>
      <c r="E47" s="25"/>
      <c r="F47" s="25"/>
      <c r="G47" s="3" t="s">
        <v>147</v>
      </c>
    </row>
    <row r="48" spans="1:7" x14ac:dyDescent="0.25">
      <c r="A48" s="8" t="s">
        <v>22</v>
      </c>
      <c r="B48" s="4" t="s">
        <v>385</v>
      </c>
      <c r="C48" s="4" t="s">
        <v>50</v>
      </c>
      <c r="D48" s="4">
        <v>8</v>
      </c>
      <c r="E48" s="25"/>
      <c r="F48" s="25"/>
      <c r="G48" s="4" t="s">
        <v>146</v>
      </c>
    </row>
    <row r="49" spans="1:7" x14ac:dyDescent="0.25">
      <c r="A49" s="6" t="s">
        <v>22</v>
      </c>
      <c r="B49" s="3" t="s">
        <v>385</v>
      </c>
      <c r="C49" s="3" t="s">
        <v>50</v>
      </c>
      <c r="D49" s="3">
        <v>9</v>
      </c>
      <c r="E49" s="25"/>
      <c r="F49" s="25"/>
      <c r="G49" s="3" t="s">
        <v>148</v>
      </c>
    </row>
    <row r="50" spans="1:7" x14ac:dyDescent="0.25">
      <c r="A50" s="8" t="s">
        <v>22</v>
      </c>
      <c r="B50" s="4" t="s">
        <v>385</v>
      </c>
      <c r="C50" s="4" t="s">
        <v>50</v>
      </c>
      <c r="D50" s="4">
        <v>10</v>
      </c>
      <c r="E50" s="26"/>
      <c r="F50" s="26"/>
      <c r="G50" s="4" t="s">
        <v>149</v>
      </c>
    </row>
    <row r="51" spans="1:7" x14ac:dyDescent="0.25">
      <c r="A51" s="6" t="s">
        <v>22</v>
      </c>
      <c r="B51" s="3" t="s">
        <v>385</v>
      </c>
      <c r="C51" s="3" t="s">
        <v>75</v>
      </c>
      <c r="D51" s="3">
        <v>1</v>
      </c>
      <c r="E51" s="24" t="s">
        <v>153</v>
      </c>
      <c r="F51" s="24" t="s">
        <v>154</v>
      </c>
      <c r="G51" s="3" t="s">
        <v>155</v>
      </c>
    </row>
    <row r="52" spans="1:7" x14ac:dyDescent="0.25">
      <c r="A52" s="8" t="s">
        <v>22</v>
      </c>
      <c r="B52" s="4" t="s">
        <v>385</v>
      </c>
      <c r="C52" s="4" t="s">
        <v>75</v>
      </c>
      <c r="D52" s="4">
        <v>2</v>
      </c>
      <c r="E52" s="25"/>
      <c r="F52" s="25"/>
      <c r="G52" s="4" t="s">
        <v>102</v>
      </c>
    </row>
    <row r="53" spans="1:7" x14ac:dyDescent="0.25">
      <c r="A53" s="6" t="s">
        <v>22</v>
      </c>
      <c r="B53" s="3" t="s">
        <v>385</v>
      </c>
      <c r="C53" s="3" t="s">
        <v>75</v>
      </c>
      <c r="D53" s="3">
        <v>3</v>
      </c>
      <c r="E53" s="25"/>
      <c r="F53" s="25"/>
      <c r="G53" s="3" t="s">
        <v>164</v>
      </c>
    </row>
    <row r="54" spans="1:7" x14ac:dyDescent="0.25">
      <c r="A54" s="8" t="s">
        <v>22</v>
      </c>
      <c r="B54" s="4" t="s">
        <v>385</v>
      </c>
      <c r="C54" s="4" t="s">
        <v>75</v>
      </c>
      <c r="D54" s="4">
        <v>4</v>
      </c>
      <c r="E54" s="25"/>
      <c r="F54" s="25"/>
      <c r="G54" s="4" t="s">
        <v>171</v>
      </c>
    </row>
    <row r="55" spans="1:7" x14ac:dyDescent="0.25">
      <c r="A55" s="6" t="s">
        <v>22</v>
      </c>
      <c r="B55" s="3" t="s">
        <v>385</v>
      </c>
      <c r="C55" s="3" t="s">
        <v>75</v>
      </c>
      <c r="D55" s="3">
        <v>5</v>
      </c>
      <c r="E55" s="25"/>
      <c r="F55" s="25"/>
      <c r="G55" s="3" t="s">
        <v>172</v>
      </c>
    </row>
    <row r="56" spans="1:7" x14ac:dyDescent="0.25">
      <c r="A56" s="8" t="s">
        <v>22</v>
      </c>
      <c r="B56" s="4" t="s">
        <v>385</v>
      </c>
      <c r="C56" s="4" t="s">
        <v>75</v>
      </c>
      <c r="D56" s="4">
        <v>6</v>
      </c>
      <c r="E56" s="25"/>
      <c r="F56" s="25"/>
      <c r="G56" s="4" t="s">
        <v>173</v>
      </c>
    </row>
    <row r="57" spans="1:7" x14ac:dyDescent="0.25">
      <c r="A57" s="6" t="s">
        <v>22</v>
      </c>
      <c r="B57" s="3" t="s">
        <v>385</v>
      </c>
      <c r="C57" s="3" t="s">
        <v>75</v>
      </c>
      <c r="D57" s="3">
        <v>7</v>
      </c>
      <c r="E57" s="25"/>
      <c r="F57" s="25"/>
      <c r="G57" s="3" t="s">
        <v>174</v>
      </c>
    </row>
    <row r="58" spans="1:7" x14ac:dyDescent="0.25">
      <c r="A58" s="8" t="s">
        <v>22</v>
      </c>
      <c r="B58" s="4" t="s">
        <v>385</v>
      </c>
      <c r="C58" s="4" t="s">
        <v>75</v>
      </c>
      <c r="D58" s="4">
        <v>8</v>
      </c>
      <c r="E58" s="25"/>
      <c r="F58" s="25"/>
      <c r="G58" s="4" t="s">
        <v>175</v>
      </c>
    </row>
    <row r="59" spans="1:7" x14ac:dyDescent="0.25">
      <c r="A59" s="6" t="s">
        <v>22</v>
      </c>
      <c r="B59" s="3" t="s">
        <v>385</v>
      </c>
      <c r="C59" s="3" t="s">
        <v>75</v>
      </c>
      <c r="D59" s="3">
        <v>9</v>
      </c>
      <c r="E59" s="25"/>
      <c r="F59" s="25"/>
      <c r="G59" s="3" t="s">
        <v>176</v>
      </c>
    </row>
    <row r="60" spans="1:7" x14ac:dyDescent="0.25">
      <c r="A60" s="8" t="s">
        <v>22</v>
      </c>
      <c r="B60" s="4" t="s">
        <v>385</v>
      </c>
      <c r="C60" s="4" t="s">
        <v>75</v>
      </c>
      <c r="D60" s="4">
        <v>10</v>
      </c>
      <c r="E60" s="26"/>
      <c r="F60" s="26"/>
      <c r="G60" s="4" t="s">
        <v>177</v>
      </c>
    </row>
    <row r="61" spans="1:7" x14ac:dyDescent="0.25">
      <c r="A61" s="6" t="s">
        <v>22</v>
      </c>
      <c r="B61" s="3" t="s">
        <v>385</v>
      </c>
      <c r="C61" s="3" t="s">
        <v>178</v>
      </c>
      <c r="D61" s="3">
        <v>1</v>
      </c>
      <c r="E61" s="24" t="s">
        <v>179</v>
      </c>
      <c r="F61" s="24" t="s">
        <v>180</v>
      </c>
      <c r="G61" s="3" t="s">
        <v>181</v>
      </c>
    </row>
    <row r="62" spans="1:7" x14ac:dyDescent="0.25">
      <c r="A62" s="8" t="s">
        <v>22</v>
      </c>
      <c r="B62" s="4" t="s">
        <v>385</v>
      </c>
      <c r="C62" s="4" t="s">
        <v>178</v>
      </c>
      <c r="D62" s="4">
        <v>2</v>
      </c>
      <c r="E62" s="25"/>
      <c r="F62" s="25"/>
      <c r="G62" s="4" t="s">
        <v>187</v>
      </c>
    </row>
    <row r="63" spans="1:7" x14ac:dyDescent="0.25">
      <c r="A63" s="6" t="s">
        <v>22</v>
      </c>
      <c r="B63" s="3" t="s">
        <v>385</v>
      </c>
      <c r="C63" s="3" t="s">
        <v>178</v>
      </c>
      <c r="D63" s="3">
        <v>3</v>
      </c>
      <c r="E63" s="25"/>
      <c r="F63" s="25"/>
      <c r="G63" s="3" t="s">
        <v>188</v>
      </c>
    </row>
    <row r="64" spans="1:7" x14ac:dyDescent="0.25">
      <c r="A64" s="8" t="s">
        <v>22</v>
      </c>
      <c r="B64" s="4" t="s">
        <v>385</v>
      </c>
      <c r="C64" s="4" t="s">
        <v>178</v>
      </c>
      <c r="D64" s="4">
        <v>4</v>
      </c>
      <c r="E64" s="25"/>
      <c r="F64" s="25"/>
      <c r="G64" s="4" t="s">
        <v>189</v>
      </c>
    </row>
    <row r="65" spans="1:7" x14ac:dyDescent="0.25">
      <c r="A65" s="6" t="s">
        <v>22</v>
      </c>
      <c r="B65" s="3" t="s">
        <v>385</v>
      </c>
      <c r="C65" s="3" t="s">
        <v>178</v>
      </c>
      <c r="D65" s="3">
        <v>5</v>
      </c>
      <c r="E65" s="25"/>
      <c r="F65" s="25"/>
      <c r="G65" s="3" t="s">
        <v>190</v>
      </c>
    </row>
    <row r="66" spans="1:7" x14ac:dyDescent="0.25">
      <c r="A66" s="8" t="s">
        <v>22</v>
      </c>
      <c r="B66" s="4" t="s">
        <v>385</v>
      </c>
      <c r="C66" s="4" t="s">
        <v>178</v>
      </c>
      <c r="D66" s="4">
        <v>6</v>
      </c>
      <c r="E66" s="25"/>
      <c r="F66" s="25"/>
      <c r="G66" s="4" t="s">
        <v>30</v>
      </c>
    </row>
    <row r="67" spans="1:7" x14ac:dyDescent="0.25">
      <c r="A67" s="6" t="s">
        <v>22</v>
      </c>
      <c r="B67" s="3" t="s">
        <v>385</v>
      </c>
      <c r="C67" s="3" t="s">
        <v>178</v>
      </c>
      <c r="D67" s="3">
        <v>7</v>
      </c>
      <c r="E67" s="25"/>
      <c r="F67" s="25"/>
      <c r="G67" s="3" t="s">
        <v>191</v>
      </c>
    </row>
    <row r="68" spans="1:7" x14ac:dyDescent="0.25">
      <c r="A68" s="8" t="s">
        <v>22</v>
      </c>
      <c r="B68" s="4" t="s">
        <v>385</v>
      </c>
      <c r="C68" s="4" t="s">
        <v>178</v>
      </c>
      <c r="D68" s="4">
        <v>8</v>
      </c>
      <c r="E68" s="25"/>
      <c r="F68" s="25"/>
      <c r="G68" s="4" t="s">
        <v>192</v>
      </c>
    </row>
    <row r="69" spans="1:7" x14ac:dyDescent="0.25">
      <c r="A69" s="6" t="s">
        <v>22</v>
      </c>
      <c r="B69" s="3" t="s">
        <v>385</v>
      </c>
      <c r="C69" s="3" t="s">
        <v>178</v>
      </c>
      <c r="D69" s="3">
        <v>9</v>
      </c>
      <c r="E69" s="25"/>
      <c r="F69" s="25"/>
      <c r="G69" s="3" t="s">
        <v>193</v>
      </c>
    </row>
    <row r="70" spans="1:7" x14ac:dyDescent="0.25">
      <c r="A70" s="8" t="s">
        <v>22</v>
      </c>
      <c r="B70" s="4" t="s">
        <v>385</v>
      </c>
      <c r="C70" s="4" t="s">
        <v>178</v>
      </c>
      <c r="D70" s="4">
        <v>10</v>
      </c>
      <c r="E70" s="26"/>
      <c r="F70" s="26"/>
      <c r="G70" s="4" t="s">
        <v>194</v>
      </c>
    </row>
    <row r="71" spans="1:7" x14ac:dyDescent="0.25">
      <c r="A71" s="6" t="s">
        <v>22</v>
      </c>
      <c r="B71" s="3" t="s">
        <v>386</v>
      </c>
      <c r="C71" s="3" t="s">
        <v>24</v>
      </c>
      <c r="D71" s="3">
        <v>1</v>
      </c>
      <c r="E71" s="24" t="s">
        <v>199</v>
      </c>
      <c r="F71" s="24" t="s">
        <v>200</v>
      </c>
      <c r="G71" s="3" t="s">
        <v>201</v>
      </c>
    </row>
    <row r="72" spans="1:7" x14ac:dyDescent="0.25">
      <c r="A72" s="8" t="s">
        <v>22</v>
      </c>
      <c r="B72" s="4" t="s">
        <v>386</v>
      </c>
      <c r="C72" s="4" t="s">
        <v>24</v>
      </c>
      <c r="D72" s="4">
        <v>2</v>
      </c>
      <c r="E72" s="25"/>
      <c r="F72" s="25"/>
      <c r="G72" s="4" t="s">
        <v>211</v>
      </c>
    </row>
    <row r="73" spans="1:7" x14ac:dyDescent="0.25">
      <c r="A73" s="6" t="s">
        <v>22</v>
      </c>
      <c r="B73" s="3" t="s">
        <v>386</v>
      </c>
      <c r="C73" s="3" t="s">
        <v>24</v>
      </c>
      <c r="D73" s="3">
        <v>3</v>
      </c>
      <c r="E73" s="25"/>
      <c r="F73" s="25"/>
      <c r="G73" s="3" t="s">
        <v>212</v>
      </c>
    </row>
    <row r="74" spans="1:7" x14ac:dyDescent="0.25">
      <c r="A74" s="8" t="s">
        <v>22</v>
      </c>
      <c r="B74" s="4" t="s">
        <v>386</v>
      </c>
      <c r="C74" s="4" t="s">
        <v>24</v>
      </c>
      <c r="D74" s="4">
        <v>4</v>
      </c>
      <c r="E74" s="25"/>
      <c r="F74" s="25"/>
      <c r="G74" s="4" t="s">
        <v>213</v>
      </c>
    </row>
    <row r="75" spans="1:7" x14ac:dyDescent="0.25">
      <c r="A75" s="6" t="s">
        <v>22</v>
      </c>
      <c r="B75" s="3" t="s">
        <v>386</v>
      </c>
      <c r="C75" s="3" t="s">
        <v>24</v>
      </c>
      <c r="D75" s="3">
        <v>5</v>
      </c>
      <c r="E75" s="25"/>
      <c r="F75" s="25"/>
      <c r="G75" s="3" t="s">
        <v>214</v>
      </c>
    </row>
    <row r="76" spans="1:7" x14ac:dyDescent="0.25">
      <c r="A76" s="8" t="s">
        <v>22</v>
      </c>
      <c r="B76" s="4" t="s">
        <v>386</v>
      </c>
      <c r="C76" s="4" t="s">
        <v>24</v>
      </c>
      <c r="D76" s="4">
        <v>6</v>
      </c>
      <c r="E76" s="25"/>
      <c r="F76" s="25"/>
      <c r="G76" s="4" t="s">
        <v>215</v>
      </c>
    </row>
    <row r="77" spans="1:7" x14ac:dyDescent="0.25">
      <c r="A77" s="6" t="s">
        <v>22</v>
      </c>
      <c r="B77" s="3" t="s">
        <v>386</v>
      </c>
      <c r="C77" s="3" t="s">
        <v>24</v>
      </c>
      <c r="D77" s="3">
        <v>7</v>
      </c>
      <c r="E77" s="25"/>
      <c r="F77" s="25"/>
      <c r="G77" s="3" t="s">
        <v>216</v>
      </c>
    </row>
    <row r="78" spans="1:7" x14ac:dyDescent="0.25">
      <c r="A78" s="8" t="s">
        <v>22</v>
      </c>
      <c r="B78" s="4" t="s">
        <v>386</v>
      </c>
      <c r="C78" s="4" t="s">
        <v>24</v>
      </c>
      <c r="D78" s="4">
        <v>8</v>
      </c>
      <c r="E78" s="25"/>
      <c r="F78" s="25"/>
      <c r="G78" s="4" t="s">
        <v>217</v>
      </c>
    </row>
    <row r="79" spans="1:7" x14ac:dyDescent="0.25">
      <c r="A79" s="6" t="s">
        <v>22</v>
      </c>
      <c r="B79" s="3" t="s">
        <v>386</v>
      </c>
      <c r="C79" s="3" t="s">
        <v>24</v>
      </c>
      <c r="D79" s="3">
        <v>9</v>
      </c>
      <c r="E79" s="25"/>
      <c r="F79" s="25"/>
      <c r="G79" s="3" t="s">
        <v>212</v>
      </c>
    </row>
    <row r="80" spans="1:7" x14ac:dyDescent="0.25">
      <c r="A80" s="8" t="s">
        <v>22</v>
      </c>
      <c r="B80" s="4" t="s">
        <v>386</v>
      </c>
      <c r="C80" s="4" t="s">
        <v>24</v>
      </c>
      <c r="D80" s="4">
        <v>10</v>
      </c>
      <c r="E80" s="26"/>
      <c r="F80" s="26"/>
      <c r="G80" s="4" t="s">
        <v>218</v>
      </c>
    </row>
    <row r="81" spans="1:7" x14ac:dyDescent="0.25">
      <c r="A81" s="6" t="s">
        <v>22</v>
      </c>
      <c r="B81" s="3" t="s">
        <v>386</v>
      </c>
      <c r="C81" s="3" t="s">
        <v>75</v>
      </c>
      <c r="D81" s="3">
        <v>1</v>
      </c>
      <c r="E81" s="24" t="s">
        <v>221</v>
      </c>
      <c r="F81" s="24" t="s">
        <v>222</v>
      </c>
      <c r="G81" s="3" t="s">
        <v>223</v>
      </c>
    </row>
    <row r="82" spans="1:7" x14ac:dyDescent="0.25">
      <c r="A82" s="8" t="s">
        <v>22</v>
      </c>
      <c r="B82" s="4" t="s">
        <v>386</v>
      </c>
      <c r="C82" s="4" t="s">
        <v>75</v>
      </c>
      <c r="D82" s="4">
        <v>2</v>
      </c>
      <c r="E82" s="25"/>
      <c r="F82" s="25"/>
      <c r="G82" s="4" t="s">
        <v>230</v>
      </c>
    </row>
    <row r="83" spans="1:7" x14ac:dyDescent="0.25">
      <c r="A83" s="6" t="s">
        <v>22</v>
      </c>
      <c r="B83" s="3" t="s">
        <v>386</v>
      </c>
      <c r="C83" s="3" t="s">
        <v>75</v>
      </c>
      <c r="D83" s="3">
        <v>3</v>
      </c>
      <c r="E83" s="25"/>
      <c r="F83" s="25"/>
      <c r="G83" s="3" t="s">
        <v>231</v>
      </c>
    </row>
    <row r="84" spans="1:7" x14ac:dyDescent="0.25">
      <c r="A84" s="8" t="s">
        <v>22</v>
      </c>
      <c r="B84" s="4" t="s">
        <v>386</v>
      </c>
      <c r="C84" s="4" t="s">
        <v>75</v>
      </c>
      <c r="D84" s="4">
        <v>4</v>
      </c>
      <c r="E84" s="25"/>
      <c r="F84" s="25"/>
      <c r="G84" s="4" t="s">
        <v>232</v>
      </c>
    </row>
    <row r="85" spans="1:7" x14ac:dyDescent="0.25">
      <c r="A85" s="6" t="s">
        <v>22</v>
      </c>
      <c r="B85" s="3" t="s">
        <v>386</v>
      </c>
      <c r="C85" s="3" t="s">
        <v>75</v>
      </c>
      <c r="D85" s="3">
        <v>5</v>
      </c>
      <c r="E85" s="25"/>
      <c r="F85" s="25"/>
      <c r="G85" s="3" t="s">
        <v>233</v>
      </c>
    </row>
    <row r="86" spans="1:7" x14ac:dyDescent="0.25">
      <c r="A86" s="8" t="s">
        <v>22</v>
      </c>
      <c r="B86" s="4" t="s">
        <v>386</v>
      </c>
      <c r="C86" s="4" t="s">
        <v>75</v>
      </c>
      <c r="D86" s="4">
        <v>6</v>
      </c>
      <c r="E86" s="25"/>
      <c r="F86" s="25"/>
      <c r="G86" s="4" t="s">
        <v>234</v>
      </c>
    </row>
    <row r="87" spans="1:7" x14ac:dyDescent="0.25">
      <c r="A87" s="6" t="s">
        <v>22</v>
      </c>
      <c r="B87" s="3" t="s">
        <v>386</v>
      </c>
      <c r="C87" s="3" t="s">
        <v>75</v>
      </c>
      <c r="D87" s="3">
        <v>7</v>
      </c>
      <c r="E87" s="25"/>
      <c r="F87" s="25"/>
      <c r="G87" s="3" t="s">
        <v>235</v>
      </c>
    </row>
    <row r="88" spans="1:7" x14ac:dyDescent="0.25">
      <c r="A88" s="8" t="s">
        <v>22</v>
      </c>
      <c r="B88" s="4" t="s">
        <v>386</v>
      </c>
      <c r="C88" s="4" t="s">
        <v>75</v>
      </c>
      <c r="D88" s="4">
        <v>8</v>
      </c>
      <c r="E88" s="25"/>
      <c r="F88" s="25"/>
      <c r="G88" s="4" t="s">
        <v>236</v>
      </c>
    </row>
    <row r="89" spans="1:7" x14ac:dyDescent="0.25">
      <c r="A89" s="6" t="s">
        <v>22</v>
      </c>
      <c r="B89" s="3" t="s">
        <v>386</v>
      </c>
      <c r="C89" s="3" t="s">
        <v>75</v>
      </c>
      <c r="D89" s="3">
        <v>9</v>
      </c>
      <c r="E89" s="25"/>
      <c r="F89" s="25"/>
      <c r="G89" s="3" t="s">
        <v>237</v>
      </c>
    </row>
    <row r="90" spans="1:7" x14ac:dyDescent="0.25">
      <c r="A90" s="8" t="s">
        <v>22</v>
      </c>
      <c r="B90" s="4" t="s">
        <v>386</v>
      </c>
      <c r="C90" s="4" t="s">
        <v>75</v>
      </c>
      <c r="D90" s="4">
        <v>10</v>
      </c>
      <c r="E90" s="26"/>
      <c r="F90" s="26"/>
      <c r="G90" s="4" t="s">
        <v>238</v>
      </c>
    </row>
    <row r="91" spans="1:7" x14ac:dyDescent="0.25">
      <c r="A91" s="6" t="s">
        <v>22</v>
      </c>
      <c r="B91" s="3" t="s">
        <v>387</v>
      </c>
      <c r="C91" s="3" t="s">
        <v>24</v>
      </c>
      <c r="D91" s="3">
        <v>1</v>
      </c>
      <c r="E91" s="24" t="s">
        <v>245</v>
      </c>
      <c r="F91" s="24" t="s">
        <v>246</v>
      </c>
      <c r="G91" s="3" t="s">
        <v>247</v>
      </c>
    </row>
    <row r="92" spans="1:7" x14ac:dyDescent="0.25">
      <c r="A92" s="8" t="s">
        <v>22</v>
      </c>
      <c r="B92" s="4" t="s">
        <v>387</v>
      </c>
      <c r="C92" s="4" t="s">
        <v>24</v>
      </c>
      <c r="D92" s="4">
        <v>2</v>
      </c>
      <c r="E92" s="25"/>
      <c r="F92" s="25"/>
      <c r="G92" s="4" t="s">
        <v>256</v>
      </c>
    </row>
    <row r="93" spans="1:7" x14ac:dyDescent="0.25">
      <c r="A93" s="6" t="s">
        <v>22</v>
      </c>
      <c r="B93" s="3" t="s">
        <v>387</v>
      </c>
      <c r="C93" s="3" t="s">
        <v>24</v>
      </c>
      <c r="D93" s="3">
        <v>3</v>
      </c>
      <c r="E93" s="25"/>
      <c r="F93" s="25"/>
      <c r="G93" s="3" t="s">
        <v>257</v>
      </c>
    </row>
    <row r="94" spans="1:7" x14ac:dyDescent="0.25">
      <c r="A94" s="8" t="s">
        <v>22</v>
      </c>
      <c r="B94" s="4" t="s">
        <v>387</v>
      </c>
      <c r="C94" s="4" t="s">
        <v>24</v>
      </c>
      <c r="D94" s="4">
        <v>4</v>
      </c>
      <c r="E94" s="25"/>
      <c r="F94" s="25"/>
      <c r="G94" s="4" t="s">
        <v>258</v>
      </c>
    </row>
    <row r="95" spans="1:7" x14ac:dyDescent="0.25">
      <c r="A95" s="6" t="s">
        <v>22</v>
      </c>
      <c r="B95" s="3" t="s">
        <v>387</v>
      </c>
      <c r="C95" s="3" t="s">
        <v>24</v>
      </c>
      <c r="D95" s="3">
        <v>5</v>
      </c>
      <c r="E95" s="25"/>
      <c r="F95" s="25"/>
      <c r="G95" s="3" t="s">
        <v>267</v>
      </c>
    </row>
    <row r="96" spans="1:7" x14ac:dyDescent="0.25">
      <c r="A96" s="8" t="s">
        <v>22</v>
      </c>
      <c r="B96" s="4" t="s">
        <v>387</v>
      </c>
      <c r="C96" s="4" t="s">
        <v>24</v>
      </c>
      <c r="D96" s="4">
        <v>6</v>
      </c>
      <c r="E96" s="25"/>
      <c r="F96" s="25"/>
      <c r="G96" s="4" t="s">
        <v>268</v>
      </c>
    </row>
    <row r="97" spans="1:7" x14ac:dyDescent="0.25">
      <c r="A97" s="6" t="s">
        <v>22</v>
      </c>
      <c r="B97" s="3" t="s">
        <v>387</v>
      </c>
      <c r="C97" s="3" t="s">
        <v>24</v>
      </c>
      <c r="D97" s="3">
        <v>7</v>
      </c>
      <c r="E97" s="25"/>
      <c r="F97" s="25"/>
      <c r="G97" s="3" t="s">
        <v>269</v>
      </c>
    </row>
    <row r="98" spans="1:7" x14ac:dyDescent="0.25">
      <c r="A98" s="8" t="s">
        <v>22</v>
      </c>
      <c r="B98" s="4" t="s">
        <v>387</v>
      </c>
      <c r="C98" s="4" t="s">
        <v>24</v>
      </c>
      <c r="D98" s="4">
        <v>8</v>
      </c>
      <c r="E98" s="25"/>
      <c r="F98" s="25"/>
      <c r="G98" s="4" t="s">
        <v>270</v>
      </c>
    </row>
    <row r="99" spans="1:7" x14ac:dyDescent="0.25">
      <c r="A99" s="6" t="s">
        <v>22</v>
      </c>
      <c r="B99" s="3" t="s">
        <v>387</v>
      </c>
      <c r="C99" s="3" t="s">
        <v>24</v>
      </c>
      <c r="D99" s="3">
        <v>9</v>
      </c>
      <c r="E99" s="25"/>
      <c r="F99" s="25"/>
      <c r="G99" s="3" t="s">
        <v>271</v>
      </c>
    </row>
    <row r="100" spans="1:7" x14ac:dyDescent="0.25">
      <c r="A100" s="8" t="s">
        <v>22</v>
      </c>
      <c r="B100" s="4" t="s">
        <v>387</v>
      </c>
      <c r="C100" s="4" t="s">
        <v>24</v>
      </c>
      <c r="D100" s="4">
        <v>10</v>
      </c>
      <c r="E100" s="26"/>
      <c r="F100" s="26"/>
      <c r="G100" s="4" t="s">
        <v>272</v>
      </c>
    </row>
    <row r="101" spans="1:7" x14ac:dyDescent="0.25">
      <c r="A101" s="6" t="s">
        <v>22</v>
      </c>
      <c r="B101" s="3" t="s">
        <v>387</v>
      </c>
      <c r="C101" s="3" t="s">
        <v>75</v>
      </c>
      <c r="D101" s="3">
        <v>1</v>
      </c>
      <c r="E101" s="24" t="s">
        <v>279</v>
      </c>
      <c r="F101" s="24" t="s">
        <v>280</v>
      </c>
      <c r="G101" s="3" t="s">
        <v>281</v>
      </c>
    </row>
    <row r="102" spans="1:7" x14ac:dyDescent="0.25">
      <c r="A102" s="8" t="s">
        <v>22</v>
      </c>
      <c r="B102" s="4" t="s">
        <v>387</v>
      </c>
      <c r="C102" s="4" t="s">
        <v>75</v>
      </c>
      <c r="D102" s="4">
        <v>2</v>
      </c>
      <c r="E102" s="25"/>
      <c r="F102" s="25"/>
      <c r="G102" s="4" t="s">
        <v>290</v>
      </c>
    </row>
    <row r="103" spans="1:7" x14ac:dyDescent="0.25">
      <c r="A103" s="6" t="s">
        <v>22</v>
      </c>
      <c r="B103" s="3" t="s">
        <v>387</v>
      </c>
      <c r="C103" s="3" t="s">
        <v>75</v>
      </c>
      <c r="D103" s="3">
        <v>3</v>
      </c>
      <c r="E103" s="25"/>
      <c r="F103" s="25"/>
      <c r="G103" s="3" t="s">
        <v>299</v>
      </c>
    </row>
    <row r="104" spans="1:7" x14ac:dyDescent="0.25">
      <c r="A104" s="8" t="s">
        <v>22</v>
      </c>
      <c r="B104" s="4" t="s">
        <v>387</v>
      </c>
      <c r="C104" s="4" t="s">
        <v>75</v>
      </c>
      <c r="D104" s="4">
        <v>4</v>
      </c>
      <c r="E104" s="25"/>
      <c r="F104" s="25"/>
      <c r="G104" s="4" t="s">
        <v>300</v>
      </c>
    </row>
    <row r="105" spans="1:7" x14ac:dyDescent="0.25">
      <c r="A105" s="6" t="s">
        <v>22</v>
      </c>
      <c r="B105" s="3" t="s">
        <v>387</v>
      </c>
      <c r="C105" s="3" t="s">
        <v>75</v>
      </c>
      <c r="D105" s="3">
        <v>5</v>
      </c>
      <c r="E105" s="25"/>
      <c r="F105" s="25"/>
      <c r="G105" s="3" t="s">
        <v>301</v>
      </c>
    </row>
    <row r="106" spans="1:7" x14ac:dyDescent="0.25">
      <c r="A106" s="8" t="s">
        <v>22</v>
      </c>
      <c r="B106" s="4" t="s">
        <v>387</v>
      </c>
      <c r="C106" s="4" t="s">
        <v>75</v>
      </c>
      <c r="D106" s="4">
        <v>6</v>
      </c>
      <c r="E106" s="25"/>
      <c r="F106" s="25"/>
      <c r="G106" s="4" t="s">
        <v>302</v>
      </c>
    </row>
    <row r="107" spans="1:7" x14ac:dyDescent="0.25">
      <c r="A107" s="6" t="s">
        <v>22</v>
      </c>
      <c r="B107" s="3" t="s">
        <v>387</v>
      </c>
      <c r="C107" s="3" t="s">
        <v>75</v>
      </c>
      <c r="D107" s="3">
        <v>7</v>
      </c>
      <c r="E107" s="25"/>
      <c r="F107" s="25"/>
      <c r="G107" s="3" t="s">
        <v>303</v>
      </c>
    </row>
    <row r="108" spans="1:7" x14ac:dyDescent="0.25">
      <c r="A108" s="8" t="s">
        <v>22</v>
      </c>
      <c r="B108" s="4" t="s">
        <v>387</v>
      </c>
      <c r="C108" s="4" t="s">
        <v>75</v>
      </c>
      <c r="D108" s="4">
        <v>8</v>
      </c>
      <c r="E108" s="25"/>
      <c r="F108" s="25"/>
      <c r="G108" s="4" t="s">
        <v>304</v>
      </c>
    </row>
    <row r="109" spans="1:7" x14ac:dyDescent="0.25">
      <c r="A109" s="6" t="s">
        <v>22</v>
      </c>
      <c r="B109" s="3" t="s">
        <v>387</v>
      </c>
      <c r="C109" s="3" t="s">
        <v>75</v>
      </c>
      <c r="D109" s="3">
        <v>9</v>
      </c>
      <c r="E109" s="25"/>
      <c r="F109" s="25"/>
      <c r="G109" s="3" t="s">
        <v>305</v>
      </c>
    </row>
    <row r="110" spans="1:7" x14ac:dyDescent="0.25">
      <c r="A110" s="8" t="s">
        <v>22</v>
      </c>
      <c r="B110" s="4" t="s">
        <v>387</v>
      </c>
      <c r="C110" s="4" t="s">
        <v>75</v>
      </c>
      <c r="D110" s="4">
        <v>10</v>
      </c>
      <c r="E110" s="26"/>
      <c r="F110" s="26"/>
      <c r="G110" s="4" t="s">
        <v>306</v>
      </c>
    </row>
    <row r="111" spans="1:7" x14ac:dyDescent="0.25">
      <c r="A111" s="6" t="s">
        <v>22</v>
      </c>
      <c r="B111" s="3" t="s">
        <v>387</v>
      </c>
      <c r="C111" s="3" t="s">
        <v>178</v>
      </c>
      <c r="D111" s="3">
        <v>1</v>
      </c>
      <c r="E111" s="24" t="s">
        <v>309</v>
      </c>
      <c r="F111" s="24" t="s">
        <v>310</v>
      </c>
      <c r="G111" s="3" t="s">
        <v>311</v>
      </c>
    </row>
    <row r="112" spans="1:7" x14ac:dyDescent="0.25">
      <c r="A112" s="8" t="s">
        <v>22</v>
      </c>
      <c r="B112" s="4" t="s">
        <v>387</v>
      </c>
      <c r="C112" s="4" t="s">
        <v>178</v>
      </c>
      <c r="D112" s="4">
        <v>2</v>
      </c>
      <c r="E112" s="25"/>
      <c r="F112" s="25"/>
      <c r="G112" s="4" t="s">
        <v>317</v>
      </c>
    </row>
    <row r="113" spans="1:7" x14ac:dyDescent="0.25">
      <c r="A113" s="6" t="s">
        <v>22</v>
      </c>
      <c r="B113" s="3" t="s">
        <v>387</v>
      </c>
      <c r="C113" s="3" t="s">
        <v>178</v>
      </c>
      <c r="D113" s="3">
        <v>3</v>
      </c>
      <c r="E113" s="25"/>
      <c r="F113" s="25"/>
      <c r="G113" s="3" t="s">
        <v>318</v>
      </c>
    </row>
    <row r="114" spans="1:7" x14ac:dyDescent="0.25">
      <c r="A114" s="8" t="s">
        <v>22</v>
      </c>
      <c r="B114" s="4" t="s">
        <v>387</v>
      </c>
      <c r="C114" s="4" t="s">
        <v>178</v>
      </c>
      <c r="D114" s="4">
        <v>4</v>
      </c>
      <c r="E114" s="25"/>
      <c r="F114" s="25"/>
      <c r="G114" s="4" t="s">
        <v>319</v>
      </c>
    </row>
    <row r="115" spans="1:7" x14ac:dyDescent="0.25">
      <c r="A115" s="6" t="s">
        <v>22</v>
      </c>
      <c r="B115" s="3" t="s">
        <v>387</v>
      </c>
      <c r="C115" s="3" t="s">
        <v>178</v>
      </c>
      <c r="D115" s="3">
        <v>5</v>
      </c>
      <c r="E115" s="25"/>
      <c r="F115" s="25"/>
      <c r="G115" s="3" t="s">
        <v>328</v>
      </c>
    </row>
    <row r="116" spans="1:7" x14ac:dyDescent="0.25">
      <c r="A116" s="8" t="s">
        <v>22</v>
      </c>
      <c r="B116" s="4" t="s">
        <v>387</v>
      </c>
      <c r="C116" s="4" t="s">
        <v>178</v>
      </c>
      <c r="D116" s="4">
        <v>6</v>
      </c>
      <c r="E116" s="25"/>
      <c r="F116" s="25"/>
      <c r="G116" s="4" t="s">
        <v>329</v>
      </c>
    </row>
    <row r="117" spans="1:7" x14ac:dyDescent="0.25">
      <c r="A117" s="6" t="s">
        <v>22</v>
      </c>
      <c r="B117" s="3" t="s">
        <v>387</v>
      </c>
      <c r="C117" s="3" t="s">
        <v>178</v>
      </c>
      <c r="D117" s="3">
        <v>7</v>
      </c>
      <c r="E117" s="25"/>
      <c r="F117" s="25"/>
      <c r="G117" s="3" t="s">
        <v>330</v>
      </c>
    </row>
    <row r="118" spans="1:7" x14ac:dyDescent="0.25">
      <c r="A118" s="8" t="s">
        <v>22</v>
      </c>
      <c r="B118" s="4" t="s">
        <v>387</v>
      </c>
      <c r="C118" s="4" t="s">
        <v>178</v>
      </c>
      <c r="D118" s="4">
        <v>8</v>
      </c>
      <c r="E118" s="25"/>
      <c r="F118" s="25"/>
      <c r="G118" s="4" t="s">
        <v>331</v>
      </c>
    </row>
    <row r="119" spans="1:7" x14ac:dyDescent="0.25">
      <c r="A119" s="6" t="s">
        <v>22</v>
      </c>
      <c r="B119" s="3" t="s">
        <v>387</v>
      </c>
      <c r="C119" s="3" t="s">
        <v>178</v>
      </c>
      <c r="D119" s="3">
        <v>9</v>
      </c>
      <c r="E119" s="25"/>
      <c r="F119" s="25"/>
      <c r="G119" s="3" t="s">
        <v>332</v>
      </c>
    </row>
    <row r="120" spans="1:7" x14ac:dyDescent="0.25">
      <c r="A120" s="8" t="s">
        <v>22</v>
      </c>
      <c r="B120" s="4" t="s">
        <v>387</v>
      </c>
      <c r="C120" s="4" t="s">
        <v>178</v>
      </c>
      <c r="D120" s="4">
        <v>10</v>
      </c>
      <c r="E120" s="26"/>
      <c r="F120" s="26"/>
      <c r="G120" s="4" t="s">
        <v>333</v>
      </c>
    </row>
    <row r="121" spans="1:7" x14ac:dyDescent="0.25">
      <c r="A121" s="6" t="s">
        <v>22</v>
      </c>
      <c r="B121" s="3" t="s">
        <v>388</v>
      </c>
      <c r="C121" s="3" t="s">
        <v>341</v>
      </c>
      <c r="D121" s="3">
        <v>1</v>
      </c>
      <c r="E121" s="24" t="s">
        <v>342</v>
      </c>
      <c r="F121" s="24" t="s">
        <v>343</v>
      </c>
      <c r="G121" s="3" t="s">
        <v>344</v>
      </c>
    </row>
    <row r="122" spans="1:7" x14ac:dyDescent="0.25">
      <c r="A122" s="8" t="s">
        <v>22</v>
      </c>
      <c r="B122" s="4" t="s">
        <v>388</v>
      </c>
      <c r="C122" s="4" t="s">
        <v>341</v>
      </c>
      <c r="D122" s="4">
        <v>2</v>
      </c>
      <c r="E122" s="25"/>
      <c r="F122" s="25"/>
      <c r="G122" s="4" t="s">
        <v>350</v>
      </c>
    </row>
    <row r="123" spans="1:7" x14ac:dyDescent="0.25">
      <c r="A123" s="6" t="s">
        <v>22</v>
      </c>
      <c r="B123" s="3" t="s">
        <v>388</v>
      </c>
      <c r="C123" s="3" t="s">
        <v>341</v>
      </c>
      <c r="D123" s="3">
        <v>3</v>
      </c>
      <c r="E123" s="25"/>
      <c r="F123" s="25"/>
      <c r="G123" s="3" t="s">
        <v>351</v>
      </c>
    </row>
    <row r="124" spans="1:7" x14ac:dyDescent="0.25">
      <c r="A124" s="8" t="s">
        <v>22</v>
      </c>
      <c r="B124" s="4" t="s">
        <v>388</v>
      </c>
      <c r="C124" s="4" t="s">
        <v>341</v>
      </c>
      <c r="D124" s="4">
        <v>4</v>
      </c>
      <c r="E124" s="25"/>
      <c r="F124" s="25"/>
      <c r="G124" s="4" t="s">
        <v>352</v>
      </c>
    </row>
    <row r="125" spans="1:7" x14ac:dyDescent="0.25">
      <c r="A125" s="6" t="s">
        <v>22</v>
      </c>
      <c r="B125" s="3" t="s">
        <v>388</v>
      </c>
      <c r="C125" s="3" t="s">
        <v>341</v>
      </c>
      <c r="D125" s="3">
        <v>5</v>
      </c>
      <c r="E125" s="25"/>
      <c r="F125" s="25"/>
      <c r="G125" s="3" t="s">
        <v>353</v>
      </c>
    </row>
    <row r="126" spans="1:7" x14ac:dyDescent="0.25">
      <c r="A126" s="8" t="s">
        <v>22</v>
      </c>
      <c r="B126" s="4" t="s">
        <v>388</v>
      </c>
      <c r="C126" s="4" t="s">
        <v>341</v>
      </c>
      <c r="D126" s="4">
        <v>6</v>
      </c>
      <c r="E126" s="25"/>
      <c r="F126" s="25"/>
      <c r="G126" s="4" t="s">
        <v>354</v>
      </c>
    </row>
    <row r="127" spans="1:7" x14ac:dyDescent="0.25">
      <c r="A127" s="6" t="s">
        <v>22</v>
      </c>
      <c r="B127" s="3" t="s">
        <v>388</v>
      </c>
      <c r="C127" s="3" t="s">
        <v>341</v>
      </c>
      <c r="D127" s="3">
        <v>7</v>
      </c>
      <c r="E127" s="25"/>
      <c r="F127" s="25"/>
      <c r="G127" s="3" t="s">
        <v>355</v>
      </c>
    </row>
    <row r="128" spans="1:7" x14ac:dyDescent="0.25">
      <c r="A128" s="8" t="s">
        <v>22</v>
      </c>
      <c r="B128" s="4" t="s">
        <v>388</v>
      </c>
      <c r="C128" s="4" t="s">
        <v>341</v>
      </c>
      <c r="D128" s="4">
        <v>8</v>
      </c>
      <c r="E128" s="25"/>
      <c r="F128" s="25"/>
      <c r="G128" s="4" t="s">
        <v>356</v>
      </c>
    </row>
    <row r="129" spans="1:7" x14ac:dyDescent="0.25">
      <c r="A129" s="6" t="s">
        <v>22</v>
      </c>
      <c r="B129" s="3" t="s">
        <v>388</v>
      </c>
      <c r="C129" s="3" t="s">
        <v>341</v>
      </c>
      <c r="D129" s="3">
        <v>9</v>
      </c>
      <c r="E129" s="25"/>
      <c r="F129" s="25"/>
      <c r="G129" s="3" t="s">
        <v>357</v>
      </c>
    </row>
    <row r="130" spans="1:7" x14ac:dyDescent="0.25">
      <c r="A130" s="8" t="s">
        <v>22</v>
      </c>
      <c r="B130" s="4" t="s">
        <v>388</v>
      </c>
      <c r="C130" s="4" t="s">
        <v>341</v>
      </c>
      <c r="D130" s="4">
        <v>10</v>
      </c>
      <c r="E130" s="26"/>
      <c r="F130" s="26"/>
      <c r="G130" s="4" t="s">
        <v>358</v>
      </c>
    </row>
    <row r="131" spans="1:7" x14ac:dyDescent="0.25">
      <c r="A131" s="6" t="s">
        <v>22</v>
      </c>
      <c r="B131" s="3" t="s">
        <v>388</v>
      </c>
      <c r="C131" s="3" t="s">
        <v>361</v>
      </c>
      <c r="D131" s="3">
        <v>1</v>
      </c>
      <c r="E131" s="24" t="s">
        <v>362</v>
      </c>
      <c r="F131" s="24" t="s">
        <v>363</v>
      </c>
      <c r="G131" s="3" t="s">
        <v>364</v>
      </c>
    </row>
    <row r="132" spans="1:7" x14ac:dyDescent="0.25">
      <c r="A132" s="8" t="s">
        <v>22</v>
      </c>
      <c r="B132" s="4" t="s">
        <v>388</v>
      </c>
      <c r="C132" s="4" t="s">
        <v>361</v>
      </c>
      <c r="D132" s="4">
        <v>2</v>
      </c>
      <c r="E132" s="25"/>
      <c r="F132" s="25"/>
      <c r="G132" s="4" t="s">
        <v>374</v>
      </c>
    </row>
    <row r="133" spans="1:7" x14ac:dyDescent="0.25">
      <c r="A133" s="6" t="s">
        <v>22</v>
      </c>
      <c r="B133" s="3" t="s">
        <v>388</v>
      </c>
      <c r="C133" s="3" t="s">
        <v>361</v>
      </c>
      <c r="D133" s="3">
        <v>3</v>
      </c>
      <c r="E133" s="25"/>
      <c r="F133" s="25"/>
      <c r="G133" s="3" t="s">
        <v>375</v>
      </c>
    </row>
    <row r="134" spans="1:7" x14ac:dyDescent="0.25">
      <c r="A134" s="8" t="s">
        <v>22</v>
      </c>
      <c r="B134" s="4" t="s">
        <v>388</v>
      </c>
      <c r="C134" s="4" t="s">
        <v>361</v>
      </c>
      <c r="D134" s="4">
        <v>4</v>
      </c>
      <c r="E134" s="25"/>
      <c r="F134" s="25"/>
      <c r="G134" s="4" t="s">
        <v>376</v>
      </c>
    </row>
    <row r="135" spans="1:7" x14ac:dyDescent="0.25">
      <c r="A135" s="6" t="s">
        <v>22</v>
      </c>
      <c r="B135" s="3" t="s">
        <v>388</v>
      </c>
      <c r="C135" s="3" t="s">
        <v>361</v>
      </c>
      <c r="D135" s="3">
        <v>5</v>
      </c>
      <c r="E135" s="25"/>
      <c r="F135" s="25"/>
      <c r="G135" s="3" t="s">
        <v>377</v>
      </c>
    </row>
    <row r="136" spans="1:7" x14ac:dyDescent="0.25">
      <c r="A136" s="8" t="s">
        <v>22</v>
      </c>
      <c r="B136" s="4" t="s">
        <v>388</v>
      </c>
      <c r="C136" s="4" t="s">
        <v>361</v>
      </c>
      <c r="D136" s="4">
        <v>6</v>
      </c>
      <c r="E136" s="25"/>
      <c r="F136" s="25"/>
      <c r="G136" s="4" t="s">
        <v>378</v>
      </c>
    </row>
    <row r="137" spans="1:7" x14ac:dyDescent="0.25">
      <c r="A137" s="6" t="s">
        <v>22</v>
      </c>
      <c r="B137" s="3" t="s">
        <v>388</v>
      </c>
      <c r="C137" s="3" t="s">
        <v>361</v>
      </c>
      <c r="D137" s="3">
        <v>7</v>
      </c>
      <c r="E137" s="25"/>
      <c r="F137" s="25"/>
      <c r="G137" s="3" t="s">
        <v>379</v>
      </c>
    </row>
    <row r="138" spans="1:7" x14ac:dyDescent="0.25">
      <c r="A138" s="8" t="s">
        <v>22</v>
      </c>
      <c r="B138" s="4" t="s">
        <v>388</v>
      </c>
      <c r="C138" s="4" t="s">
        <v>361</v>
      </c>
      <c r="D138" s="4">
        <v>8</v>
      </c>
      <c r="E138" s="25"/>
      <c r="F138" s="25"/>
      <c r="G138" s="4" t="s">
        <v>380</v>
      </c>
    </row>
    <row r="139" spans="1:7" x14ac:dyDescent="0.25">
      <c r="A139" s="6" t="s">
        <v>22</v>
      </c>
      <c r="B139" s="3" t="s">
        <v>388</v>
      </c>
      <c r="C139" s="3" t="s">
        <v>361</v>
      </c>
      <c r="D139" s="3">
        <v>9</v>
      </c>
      <c r="E139" s="25"/>
      <c r="F139" s="25"/>
      <c r="G139" s="3" t="s">
        <v>379</v>
      </c>
    </row>
    <row r="140" spans="1:7" x14ac:dyDescent="0.25">
      <c r="A140" s="8" t="s">
        <v>22</v>
      </c>
      <c r="B140" s="4" t="s">
        <v>388</v>
      </c>
      <c r="C140" s="4" t="s">
        <v>361</v>
      </c>
      <c r="D140" s="4">
        <v>10</v>
      </c>
      <c r="E140" s="26"/>
      <c r="F140" s="26"/>
      <c r="G140" s="4" t="s">
        <v>381</v>
      </c>
    </row>
  </sheetData>
  <mergeCells count="28">
    <mergeCell ref="F81:F90"/>
    <mergeCell ref="F91:F100"/>
    <mergeCell ref="F101:F110"/>
    <mergeCell ref="F111:F120"/>
    <mergeCell ref="F121:F130"/>
    <mergeCell ref="F131:F140"/>
    <mergeCell ref="E121:E130"/>
    <mergeCell ref="E131:E140"/>
    <mergeCell ref="F1:F10"/>
    <mergeCell ref="F11:F20"/>
    <mergeCell ref="F21:F30"/>
    <mergeCell ref="F31:F40"/>
    <mergeCell ref="F41:F50"/>
    <mergeCell ref="F51:F60"/>
    <mergeCell ref="F61:F70"/>
    <mergeCell ref="F71:F80"/>
    <mergeCell ref="E61:E70"/>
    <mergeCell ref="E71:E80"/>
    <mergeCell ref="E81:E90"/>
    <mergeCell ref="E91:E100"/>
    <mergeCell ref="E101:E110"/>
    <mergeCell ref="E111:E120"/>
    <mergeCell ref="E1:E10"/>
    <mergeCell ref="E11:E20"/>
    <mergeCell ref="E21:E30"/>
    <mergeCell ref="E31:E40"/>
    <mergeCell ref="E41:E50"/>
    <mergeCell ref="E51:E6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41"/>
  <sheetViews>
    <sheetView topLeftCell="Y1" zoomScale="55" zoomScaleNormal="55" workbookViewId="0">
      <selection activeCell="AE4" sqref="AE4"/>
    </sheetView>
  </sheetViews>
  <sheetFormatPr defaultRowHeight="15" x14ac:dyDescent="0.25"/>
  <cols>
    <col min="1" max="1" width="27.85546875" customWidth="1"/>
    <col min="2" max="2" width="19.42578125" customWidth="1"/>
    <col min="4" max="4" width="13.7109375" customWidth="1"/>
    <col min="5" max="5" width="28.140625" customWidth="1"/>
    <col min="6" max="6" width="25" customWidth="1"/>
    <col min="14" max="14" width="28.28515625" customWidth="1"/>
    <col min="15" max="15" width="14.85546875" customWidth="1"/>
    <col min="16" max="16" width="16" customWidth="1"/>
    <col min="17" max="17" width="12.85546875" customWidth="1"/>
    <col min="18" max="18" width="23" customWidth="1"/>
    <col min="19" max="19" width="28.140625" customWidth="1"/>
    <col min="20" max="20" width="21.5703125" customWidth="1"/>
    <col min="21" max="21" width="16.140625" customWidth="1"/>
    <col min="22" max="22" width="13.42578125" customWidth="1"/>
    <col min="23" max="23" width="15.42578125" customWidth="1"/>
    <col min="24" max="24" width="28.28515625" customWidth="1"/>
    <col min="25" max="25" width="31.85546875" customWidth="1"/>
    <col min="26" max="26" width="18.42578125" customWidth="1"/>
    <col min="28" max="28" width="31" customWidth="1"/>
    <col min="29" max="29" width="23" customWidth="1"/>
    <col min="30" max="30" width="24.42578125" customWidth="1"/>
    <col min="31" max="31" width="24.140625" customWidth="1"/>
    <col min="32" max="32" width="44.140625" customWidth="1"/>
    <col min="33" max="33" width="44.28515625" customWidth="1"/>
    <col min="35" max="35" width="23" customWidth="1"/>
    <col min="36" max="36" width="18.140625" customWidth="1"/>
    <col min="37" max="37" width="17.5703125" customWidth="1"/>
    <col min="38" max="38" width="31.42578125" customWidth="1"/>
    <col min="39" max="40" width="25.5703125" customWidth="1"/>
    <col min="41" max="41" width="32.85546875" customWidth="1"/>
    <col min="42" max="42" width="24.7109375" customWidth="1"/>
    <col min="43" max="43" width="23.42578125" customWidth="1"/>
    <col min="44" max="44" width="21.85546875" customWidth="1"/>
    <col min="45" max="45" width="22.5703125" customWidth="1"/>
    <col min="46" max="46" width="33.5703125" customWidth="1"/>
    <col min="47" max="47" width="28.5703125" customWidth="1"/>
    <col min="48" max="48" width="21.42578125" customWidth="1"/>
  </cols>
  <sheetData>
    <row r="1" spans="1:47" x14ac:dyDescent="0.25">
      <c r="A1" s="2" t="s">
        <v>1</v>
      </c>
      <c r="B1" s="2" t="s">
        <v>2</v>
      </c>
      <c r="C1" s="2" t="s">
        <v>399</v>
      </c>
      <c r="D1" s="2" t="s">
        <v>395</v>
      </c>
      <c r="E1" s="2" t="s">
        <v>396</v>
      </c>
      <c r="F1" s="2" t="s">
        <v>397</v>
      </c>
    </row>
    <row r="2" spans="1:47" x14ac:dyDescent="0.25">
      <c r="A2" s="3" t="s">
        <v>407</v>
      </c>
      <c r="B2" s="27" t="s">
        <v>389</v>
      </c>
      <c r="C2" s="3">
        <v>1</v>
      </c>
      <c r="D2" s="24">
        <v>84.14</v>
      </c>
      <c r="E2" s="24">
        <v>90.88</v>
      </c>
      <c r="F2" s="3">
        <v>104.4</v>
      </c>
      <c r="N2" t="s">
        <v>398</v>
      </c>
    </row>
    <row r="3" spans="1:47" x14ac:dyDescent="0.25">
      <c r="A3" s="4" t="s">
        <v>407</v>
      </c>
      <c r="B3" s="28"/>
      <c r="C3" s="4">
        <v>2</v>
      </c>
      <c r="D3" s="25"/>
      <c r="E3" s="25"/>
      <c r="F3" s="4">
        <v>10.67</v>
      </c>
      <c r="N3" t="s">
        <v>389</v>
      </c>
      <c r="U3" t="s">
        <v>390</v>
      </c>
      <c r="AB3" t="s">
        <v>391</v>
      </c>
      <c r="AI3" t="s">
        <v>392</v>
      </c>
    </row>
    <row r="4" spans="1:47" x14ac:dyDescent="0.25">
      <c r="A4" s="3" t="s">
        <v>407</v>
      </c>
      <c r="B4" s="28"/>
      <c r="C4" s="3">
        <v>3</v>
      </c>
      <c r="D4" s="25"/>
      <c r="E4" s="25"/>
      <c r="F4" s="3">
        <v>7.43</v>
      </c>
      <c r="N4" s="2" t="s">
        <v>1</v>
      </c>
      <c r="O4" s="2" t="s">
        <v>399</v>
      </c>
      <c r="P4" s="2" t="s">
        <v>395</v>
      </c>
      <c r="Q4" s="2" t="s">
        <v>396</v>
      </c>
      <c r="R4" s="2" t="s">
        <v>397</v>
      </c>
      <c r="U4" s="2" t="s">
        <v>1</v>
      </c>
      <c r="V4" s="2" t="s">
        <v>399</v>
      </c>
      <c r="W4" s="2" t="s">
        <v>395</v>
      </c>
      <c r="X4" s="2" t="s">
        <v>396</v>
      </c>
      <c r="Y4" s="2" t="s">
        <v>397</v>
      </c>
      <c r="AB4" s="2" t="s">
        <v>1</v>
      </c>
      <c r="AC4" s="2" t="s">
        <v>399</v>
      </c>
      <c r="AD4" s="2" t="s">
        <v>395</v>
      </c>
      <c r="AE4" s="2" t="s">
        <v>396</v>
      </c>
      <c r="AF4" s="2" t="s">
        <v>397</v>
      </c>
      <c r="AI4" s="2" t="s">
        <v>1</v>
      </c>
      <c r="AJ4" s="2" t="s">
        <v>399</v>
      </c>
      <c r="AK4" s="2" t="s">
        <v>395</v>
      </c>
      <c r="AL4" s="2" t="s">
        <v>396</v>
      </c>
      <c r="AM4" s="2" t="s">
        <v>397</v>
      </c>
      <c r="AN4" s="19"/>
      <c r="AP4" s="2" t="s">
        <v>1</v>
      </c>
      <c r="AQ4" s="2" t="s">
        <v>2</v>
      </c>
      <c r="AR4" s="2" t="s">
        <v>399</v>
      </c>
      <c r="AS4" s="2" t="s">
        <v>395</v>
      </c>
      <c r="AT4" s="2" t="s">
        <v>396</v>
      </c>
      <c r="AU4" s="2" t="s">
        <v>397</v>
      </c>
    </row>
    <row r="5" spans="1:47" x14ac:dyDescent="0.25">
      <c r="A5" s="4" t="s">
        <v>407</v>
      </c>
      <c r="B5" s="28"/>
      <c r="C5" s="4">
        <v>4</v>
      </c>
      <c r="D5" s="25"/>
      <c r="E5" s="25"/>
      <c r="F5" s="4">
        <v>7.55</v>
      </c>
      <c r="N5" s="27" t="s">
        <v>407</v>
      </c>
      <c r="O5" s="3">
        <v>1</v>
      </c>
      <c r="P5" s="24">
        <v>84.14</v>
      </c>
      <c r="Q5" s="24">
        <v>90.88</v>
      </c>
      <c r="R5" s="3">
        <v>104.4</v>
      </c>
      <c r="U5" s="27" t="s">
        <v>407</v>
      </c>
      <c r="V5" s="3">
        <v>1</v>
      </c>
      <c r="W5" s="24">
        <v>29.77</v>
      </c>
      <c r="X5" s="24">
        <v>77.55</v>
      </c>
      <c r="Y5" s="3">
        <v>2123.15</v>
      </c>
      <c r="Z5" s="30"/>
      <c r="AB5" s="27" t="s">
        <v>407</v>
      </c>
      <c r="AC5" s="3">
        <v>1</v>
      </c>
      <c r="AD5" s="24">
        <v>107.63</v>
      </c>
      <c r="AE5" s="24">
        <v>75.84</v>
      </c>
      <c r="AF5" s="3">
        <v>400.26</v>
      </c>
      <c r="AG5" s="30"/>
      <c r="AI5" s="27" t="s">
        <v>385</v>
      </c>
      <c r="AJ5" s="3">
        <v>1</v>
      </c>
      <c r="AK5" s="24">
        <v>198.49</v>
      </c>
      <c r="AL5" s="24">
        <v>3105.3</v>
      </c>
      <c r="AM5" s="3">
        <v>66.12</v>
      </c>
      <c r="AN5" s="20"/>
      <c r="AP5" s="27" t="s">
        <v>388</v>
      </c>
      <c r="AQ5" s="27" t="s">
        <v>393</v>
      </c>
      <c r="AR5" s="3">
        <v>1</v>
      </c>
      <c r="AS5" s="24">
        <v>0.28000000000000003</v>
      </c>
      <c r="AT5" s="24">
        <v>11.88</v>
      </c>
      <c r="AU5" s="3">
        <v>4.3</v>
      </c>
    </row>
    <row r="6" spans="1:47" x14ac:dyDescent="0.25">
      <c r="A6" s="3" t="s">
        <v>407</v>
      </c>
      <c r="B6" s="28"/>
      <c r="C6" s="3">
        <v>5</v>
      </c>
      <c r="D6" s="25"/>
      <c r="E6" s="25"/>
      <c r="F6" s="3">
        <v>5.66</v>
      </c>
      <c r="N6" s="28"/>
      <c r="O6" s="4">
        <v>2</v>
      </c>
      <c r="P6" s="25"/>
      <c r="Q6" s="25"/>
      <c r="R6" s="4">
        <v>10.67</v>
      </c>
      <c r="U6" s="28"/>
      <c r="V6" s="4">
        <v>2</v>
      </c>
      <c r="W6" s="25"/>
      <c r="X6" s="25"/>
      <c r="Y6" s="4">
        <v>17.420000000000002</v>
      </c>
      <c r="Z6" s="30"/>
      <c r="AB6" s="28"/>
      <c r="AC6" s="4">
        <v>2</v>
      </c>
      <c r="AD6" s="25"/>
      <c r="AE6" s="25"/>
      <c r="AF6" s="4">
        <v>13.66</v>
      </c>
      <c r="AG6" s="30"/>
      <c r="AI6" s="28"/>
      <c r="AJ6" s="4">
        <v>2</v>
      </c>
      <c r="AK6" s="25"/>
      <c r="AL6" s="25"/>
      <c r="AM6" s="4">
        <v>7.75</v>
      </c>
      <c r="AP6" s="28"/>
      <c r="AQ6" s="28"/>
      <c r="AR6" s="4">
        <v>2</v>
      </c>
      <c r="AS6" s="25"/>
      <c r="AT6" s="25"/>
      <c r="AU6" s="4">
        <v>3.06</v>
      </c>
    </row>
    <row r="7" spans="1:47" x14ac:dyDescent="0.25">
      <c r="A7" s="4" t="s">
        <v>407</v>
      </c>
      <c r="B7" s="28"/>
      <c r="C7" s="4">
        <v>6</v>
      </c>
      <c r="D7" s="25"/>
      <c r="E7" s="25"/>
      <c r="F7" s="4">
        <v>6.48</v>
      </c>
      <c r="N7" s="28"/>
      <c r="O7" s="3">
        <v>3</v>
      </c>
      <c r="P7" s="25"/>
      <c r="Q7" s="25"/>
      <c r="R7" s="3">
        <v>7.43</v>
      </c>
      <c r="U7" s="28"/>
      <c r="V7" s="3">
        <v>3</v>
      </c>
      <c r="W7" s="25"/>
      <c r="X7" s="25"/>
      <c r="Y7" s="3">
        <v>15.64</v>
      </c>
      <c r="Z7" s="30"/>
      <c r="AB7" s="28"/>
      <c r="AC7" s="3">
        <v>3</v>
      </c>
      <c r="AD7" s="25"/>
      <c r="AE7" s="25"/>
      <c r="AF7" s="3">
        <v>12.55</v>
      </c>
      <c r="AG7" s="30"/>
      <c r="AI7" s="28"/>
      <c r="AJ7" s="3">
        <v>3</v>
      </c>
      <c r="AK7" s="25"/>
      <c r="AL7" s="25"/>
      <c r="AM7" s="3">
        <v>6.07</v>
      </c>
      <c r="AN7" s="20"/>
      <c r="AP7" s="28"/>
      <c r="AQ7" s="28"/>
      <c r="AR7" s="3">
        <v>3</v>
      </c>
      <c r="AS7" s="25"/>
      <c r="AT7" s="25"/>
      <c r="AU7" s="3">
        <v>2.91</v>
      </c>
    </row>
    <row r="8" spans="1:47" x14ac:dyDescent="0.25">
      <c r="A8" s="3" t="s">
        <v>407</v>
      </c>
      <c r="B8" s="28"/>
      <c r="C8" s="3">
        <v>7</v>
      </c>
      <c r="D8" s="25"/>
      <c r="E8" s="25"/>
      <c r="F8" s="3">
        <v>6.35</v>
      </c>
      <c r="N8" s="28"/>
      <c r="O8" s="4">
        <v>4</v>
      </c>
      <c r="P8" s="25"/>
      <c r="Q8" s="25"/>
      <c r="R8" s="4">
        <v>7.55</v>
      </c>
      <c r="U8" s="28"/>
      <c r="V8" s="4">
        <v>4</v>
      </c>
      <c r="W8" s="25"/>
      <c r="X8" s="25"/>
      <c r="Y8" s="4">
        <v>14.63</v>
      </c>
      <c r="Z8" s="30"/>
      <c r="AB8" s="28"/>
      <c r="AC8" s="4">
        <v>4</v>
      </c>
      <c r="AD8" s="25"/>
      <c r="AE8" s="25"/>
      <c r="AF8" s="4">
        <v>13.74</v>
      </c>
      <c r="AG8" s="30"/>
      <c r="AI8" s="28"/>
      <c r="AJ8" s="4">
        <v>4</v>
      </c>
      <c r="AK8" s="25"/>
      <c r="AL8" s="25"/>
      <c r="AM8" s="4">
        <v>7.22</v>
      </c>
      <c r="AP8" s="28"/>
      <c r="AQ8" s="28"/>
      <c r="AR8" s="4">
        <v>4</v>
      </c>
      <c r="AS8" s="25"/>
      <c r="AT8" s="25"/>
      <c r="AU8" s="4">
        <v>8.59</v>
      </c>
    </row>
    <row r="9" spans="1:47" x14ac:dyDescent="0.25">
      <c r="A9" s="4" t="s">
        <v>407</v>
      </c>
      <c r="B9" s="28"/>
      <c r="C9" s="4">
        <v>8</v>
      </c>
      <c r="D9" s="25"/>
      <c r="E9" s="25"/>
      <c r="F9" s="4">
        <v>6.61</v>
      </c>
      <c r="N9" s="28"/>
      <c r="O9" s="3">
        <v>5</v>
      </c>
      <c r="P9" s="25"/>
      <c r="Q9" s="25"/>
      <c r="R9" s="3">
        <v>5.66</v>
      </c>
      <c r="U9" s="28"/>
      <c r="V9" s="3">
        <v>5</v>
      </c>
      <c r="W9" s="25"/>
      <c r="X9" s="25"/>
      <c r="Y9" s="3">
        <v>23.43</v>
      </c>
      <c r="Z9" s="30"/>
      <c r="AB9" s="28"/>
      <c r="AC9" s="3">
        <v>5</v>
      </c>
      <c r="AD9" s="25"/>
      <c r="AE9" s="25"/>
      <c r="AF9" s="3">
        <v>12.24</v>
      </c>
      <c r="AG9" s="30"/>
      <c r="AI9" s="28"/>
      <c r="AJ9" s="3">
        <v>5</v>
      </c>
      <c r="AK9" s="25"/>
      <c r="AL9" s="25"/>
      <c r="AM9" s="3">
        <v>9.3699999999999992</v>
      </c>
      <c r="AN9" s="20"/>
      <c r="AP9" s="28"/>
      <c r="AQ9" s="28"/>
      <c r="AR9" s="3">
        <v>5</v>
      </c>
      <c r="AS9" s="25"/>
      <c r="AT9" s="25"/>
      <c r="AU9" s="3">
        <v>3.39</v>
      </c>
    </row>
    <row r="10" spans="1:47" x14ac:dyDescent="0.25">
      <c r="A10" s="3" t="s">
        <v>407</v>
      </c>
      <c r="B10" s="28"/>
      <c r="C10" s="3">
        <v>9</v>
      </c>
      <c r="D10" s="25"/>
      <c r="E10" s="25"/>
      <c r="F10" s="3">
        <v>7.25</v>
      </c>
      <c r="N10" s="28"/>
      <c r="O10" s="4">
        <v>6</v>
      </c>
      <c r="P10" s="25"/>
      <c r="Q10" s="25"/>
      <c r="R10" s="4">
        <v>6.48</v>
      </c>
      <c r="U10" s="28"/>
      <c r="V10" s="4">
        <v>6</v>
      </c>
      <c r="W10" s="25"/>
      <c r="X10" s="25"/>
      <c r="Y10" s="4">
        <v>10.35</v>
      </c>
      <c r="Z10" s="30"/>
      <c r="AB10" s="28"/>
      <c r="AC10" s="4">
        <v>6</v>
      </c>
      <c r="AD10" s="25"/>
      <c r="AE10" s="25"/>
      <c r="AF10" s="4">
        <v>13.11</v>
      </c>
      <c r="AG10" s="30"/>
      <c r="AI10" s="28"/>
      <c r="AJ10" s="4">
        <v>6</v>
      </c>
      <c r="AK10" s="25"/>
      <c r="AL10" s="25"/>
      <c r="AM10" s="4">
        <v>3.6</v>
      </c>
      <c r="AP10" s="28"/>
      <c r="AQ10" s="28"/>
      <c r="AR10" s="4">
        <v>6</v>
      </c>
      <c r="AS10" s="25"/>
      <c r="AT10" s="25"/>
      <c r="AU10" s="4">
        <v>3.2</v>
      </c>
    </row>
    <row r="11" spans="1:47" x14ac:dyDescent="0.25">
      <c r="A11" s="4" t="s">
        <v>407</v>
      </c>
      <c r="B11" s="29"/>
      <c r="C11" s="4">
        <v>10</v>
      </c>
      <c r="D11" s="26"/>
      <c r="E11" s="26"/>
      <c r="F11" s="4">
        <v>5.0599999999999996</v>
      </c>
      <c r="N11" s="28"/>
      <c r="O11" s="3">
        <v>7</v>
      </c>
      <c r="P11" s="25"/>
      <c r="Q11" s="25"/>
      <c r="R11" s="3">
        <v>6.35</v>
      </c>
      <c r="U11" s="28"/>
      <c r="V11" s="3">
        <v>7</v>
      </c>
      <c r="W11" s="25"/>
      <c r="X11" s="25"/>
      <c r="Y11" s="3">
        <v>10.98</v>
      </c>
      <c r="Z11" s="30"/>
      <c r="AB11" s="28"/>
      <c r="AC11" s="3">
        <v>7</v>
      </c>
      <c r="AD11" s="25"/>
      <c r="AE11" s="25"/>
      <c r="AF11" s="3">
        <v>11.05</v>
      </c>
      <c r="AG11" s="30"/>
      <c r="AI11" s="28"/>
      <c r="AJ11" s="3">
        <v>7</v>
      </c>
      <c r="AK11" s="25"/>
      <c r="AL11" s="25"/>
      <c r="AM11" s="3">
        <v>7.45</v>
      </c>
      <c r="AN11" s="20"/>
      <c r="AP11" s="28"/>
      <c r="AQ11" s="28"/>
      <c r="AR11" s="3">
        <v>7</v>
      </c>
      <c r="AS11" s="25"/>
      <c r="AT11" s="25"/>
      <c r="AU11" s="3">
        <v>5.27</v>
      </c>
    </row>
    <row r="12" spans="1:47" x14ac:dyDescent="0.25">
      <c r="A12" s="3" t="s">
        <v>407</v>
      </c>
      <c r="B12" s="27" t="s">
        <v>390</v>
      </c>
      <c r="C12" s="3">
        <v>1</v>
      </c>
      <c r="D12" s="24">
        <v>29.77</v>
      </c>
      <c r="E12" s="24">
        <v>77.55</v>
      </c>
      <c r="F12" s="3">
        <v>2123.15</v>
      </c>
      <c r="N12" s="28"/>
      <c r="O12" s="4">
        <v>8</v>
      </c>
      <c r="P12" s="25"/>
      <c r="Q12" s="25"/>
      <c r="R12" s="4">
        <v>6.61</v>
      </c>
      <c r="U12" s="28"/>
      <c r="V12" s="4">
        <v>8</v>
      </c>
      <c r="W12" s="25"/>
      <c r="X12" s="25"/>
      <c r="Y12" s="4">
        <v>11.92</v>
      </c>
      <c r="Z12" s="30"/>
      <c r="AB12" s="28"/>
      <c r="AC12" s="4">
        <v>8</v>
      </c>
      <c r="AD12" s="25"/>
      <c r="AE12" s="25"/>
      <c r="AF12" s="4">
        <v>11.62</v>
      </c>
      <c r="AG12" s="30"/>
      <c r="AI12" s="28"/>
      <c r="AJ12" s="4">
        <v>8</v>
      </c>
      <c r="AK12" s="25"/>
      <c r="AL12" s="25"/>
      <c r="AM12" s="4">
        <v>3.4</v>
      </c>
      <c r="AP12" s="28"/>
      <c r="AQ12" s="28"/>
      <c r="AR12" s="4">
        <v>8</v>
      </c>
      <c r="AS12" s="25"/>
      <c r="AT12" s="25"/>
      <c r="AU12" s="4">
        <v>3.97</v>
      </c>
    </row>
    <row r="13" spans="1:47" x14ac:dyDescent="0.25">
      <c r="A13" s="4" t="s">
        <v>407</v>
      </c>
      <c r="B13" s="28"/>
      <c r="C13" s="4">
        <v>2</v>
      </c>
      <c r="D13" s="25"/>
      <c r="E13" s="25"/>
      <c r="F13" s="4">
        <v>17.420000000000002</v>
      </c>
      <c r="N13" s="28"/>
      <c r="O13" s="3">
        <v>9</v>
      </c>
      <c r="P13" s="25"/>
      <c r="Q13" s="25"/>
      <c r="R13" s="3">
        <v>7.25</v>
      </c>
      <c r="U13" s="28"/>
      <c r="V13" s="3">
        <v>9</v>
      </c>
      <c r="W13" s="25"/>
      <c r="X13" s="25"/>
      <c r="Y13" s="3">
        <v>11.06</v>
      </c>
      <c r="Z13" s="30"/>
      <c r="AB13" s="28"/>
      <c r="AC13" s="3">
        <v>9</v>
      </c>
      <c r="AD13" s="25"/>
      <c r="AE13" s="25"/>
      <c r="AF13" s="3">
        <v>11.11</v>
      </c>
      <c r="AG13" s="30"/>
      <c r="AI13" s="28"/>
      <c r="AJ13" s="3">
        <v>9</v>
      </c>
      <c r="AK13" s="25"/>
      <c r="AL13" s="25"/>
      <c r="AM13" s="3">
        <v>3.27</v>
      </c>
      <c r="AN13" s="20"/>
      <c r="AP13" s="28"/>
      <c r="AQ13" s="28"/>
      <c r="AR13" s="3">
        <v>9</v>
      </c>
      <c r="AS13" s="25"/>
      <c r="AT13" s="25"/>
      <c r="AU13" s="3">
        <v>3.51</v>
      </c>
    </row>
    <row r="14" spans="1:47" x14ac:dyDescent="0.25">
      <c r="A14" s="3" t="s">
        <v>407</v>
      </c>
      <c r="B14" s="28"/>
      <c r="C14" s="3">
        <v>3</v>
      </c>
      <c r="D14" s="25"/>
      <c r="E14" s="25"/>
      <c r="F14" s="3">
        <v>15.64</v>
      </c>
      <c r="N14" s="29"/>
      <c r="O14" s="4">
        <v>10</v>
      </c>
      <c r="P14" s="26"/>
      <c r="Q14" s="26"/>
      <c r="R14" s="4">
        <v>5.0599999999999996</v>
      </c>
      <c r="U14" s="29"/>
      <c r="V14" s="4">
        <v>10</v>
      </c>
      <c r="W14" s="26"/>
      <c r="X14" s="26"/>
      <c r="Y14" s="4">
        <v>11.35</v>
      </c>
      <c r="Z14" s="30"/>
      <c r="AB14" s="29"/>
      <c r="AC14" s="4">
        <v>10</v>
      </c>
      <c r="AD14" s="26"/>
      <c r="AE14" s="26"/>
      <c r="AF14" s="4">
        <v>10.130000000000001</v>
      </c>
      <c r="AG14" s="30"/>
      <c r="AI14" s="29"/>
      <c r="AJ14" s="4">
        <v>10</v>
      </c>
      <c r="AK14" s="26"/>
      <c r="AL14" s="26"/>
      <c r="AM14" s="4">
        <v>3.26</v>
      </c>
      <c r="AP14" s="29"/>
      <c r="AQ14" s="29"/>
      <c r="AR14" s="4">
        <v>10</v>
      </c>
      <c r="AS14" s="26"/>
      <c r="AT14" s="26"/>
      <c r="AU14" s="4">
        <v>3.59</v>
      </c>
    </row>
    <row r="15" spans="1:47" x14ac:dyDescent="0.25">
      <c r="A15" s="4" t="s">
        <v>407</v>
      </c>
      <c r="B15" s="28"/>
      <c r="C15" s="4">
        <v>4</v>
      </c>
      <c r="D15" s="25"/>
      <c r="E15" s="25"/>
      <c r="F15" s="4">
        <v>14.63</v>
      </c>
      <c r="N15" s="27" t="s">
        <v>385</v>
      </c>
      <c r="O15" s="3">
        <v>1</v>
      </c>
      <c r="P15" s="24">
        <v>403.93</v>
      </c>
      <c r="Q15" s="24">
        <v>7975.67</v>
      </c>
      <c r="R15" s="3">
        <v>103.11</v>
      </c>
      <c r="U15" s="27" t="s">
        <v>385</v>
      </c>
      <c r="V15" s="3">
        <v>1</v>
      </c>
      <c r="W15" s="24">
        <v>91.5</v>
      </c>
      <c r="X15" s="24">
        <v>236.33</v>
      </c>
      <c r="Y15" s="3">
        <v>1088.0999999999999</v>
      </c>
      <c r="AB15" s="27" t="s">
        <v>385</v>
      </c>
      <c r="AC15" s="3">
        <v>1</v>
      </c>
      <c r="AD15" s="24">
        <v>359.17</v>
      </c>
      <c r="AE15" s="24">
        <v>6498.16</v>
      </c>
      <c r="AF15" s="3">
        <v>387.37</v>
      </c>
      <c r="AG15" s="30"/>
      <c r="AI15" s="27" t="s">
        <v>408</v>
      </c>
      <c r="AJ15" s="3">
        <v>1</v>
      </c>
      <c r="AK15" s="24">
        <v>7.58</v>
      </c>
      <c r="AL15" s="24">
        <v>200.19</v>
      </c>
      <c r="AM15" s="3">
        <v>534.82000000000005</v>
      </c>
      <c r="AN15" s="20"/>
      <c r="AP15" s="27" t="s">
        <v>388</v>
      </c>
      <c r="AQ15" s="27" t="s">
        <v>394</v>
      </c>
      <c r="AR15" s="3">
        <v>1</v>
      </c>
      <c r="AS15" s="24">
        <v>0.32</v>
      </c>
      <c r="AT15" s="24">
        <v>176.94</v>
      </c>
      <c r="AU15" s="3">
        <v>8.27</v>
      </c>
    </row>
    <row r="16" spans="1:47" x14ac:dyDescent="0.25">
      <c r="A16" s="3" t="s">
        <v>407</v>
      </c>
      <c r="B16" s="28"/>
      <c r="C16" s="3">
        <v>5</v>
      </c>
      <c r="D16" s="25"/>
      <c r="E16" s="25"/>
      <c r="F16" s="3">
        <v>23.43</v>
      </c>
      <c r="N16" s="28"/>
      <c r="O16" s="4">
        <v>2</v>
      </c>
      <c r="P16" s="25"/>
      <c r="Q16" s="25"/>
      <c r="R16" s="4">
        <v>18.670000000000002</v>
      </c>
      <c r="U16" s="28"/>
      <c r="V16" s="4">
        <v>2</v>
      </c>
      <c r="W16" s="25"/>
      <c r="X16" s="25"/>
      <c r="Y16" s="4">
        <v>4.9800000000000004</v>
      </c>
      <c r="AB16" s="28"/>
      <c r="AC16" s="4">
        <v>2</v>
      </c>
      <c r="AD16" s="25"/>
      <c r="AE16" s="25"/>
      <c r="AF16" s="4">
        <v>13.11</v>
      </c>
      <c r="AG16" s="30"/>
      <c r="AI16" s="28"/>
      <c r="AJ16" s="4">
        <v>2</v>
      </c>
      <c r="AK16" s="25"/>
      <c r="AL16" s="25"/>
      <c r="AM16" s="4">
        <v>61.39</v>
      </c>
      <c r="AP16" s="28"/>
      <c r="AQ16" s="28"/>
      <c r="AR16" s="4">
        <v>2</v>
      </c>
      <c r="AS16" s="25"/>
      <c r="AT16" s="25"/>
      <c r="AU16" s="4">
        <v>1.71</v>
      </c>
    </row>
    <row r="17" spans="1:48" x14ac:dyDescent="0.25">
      <c r="A17" s="4" t="s">
        <v>407</v>
      </c>
      <c r="B17" s="28"/>
      <c r="C17" s="4">
        <v>6</v>
      </c>
      <c r="D17" s="25"/>
      <c r="E17" s="25"/>
      <c r="F17" s="4">
        <v>10.35</v>
      </c>
      <c r="N17" s="28"/>
      <c r="O17" s="3">
        <v>3</v>
      </c>
      <c r="P17" s="25"/>
      <c r="Q17" s="25"/>
      <c r="R17" s="3">
        <v>12.13</v>
      </c>
      <c r="U17" s="28"/>
      <c r="V17" s="3">
        <v>3</v>
      </c>
      <c r="W17" s="25"/>
      <c r="X17" s="25"/>
      <c r="Y17" s="3">
        <v>4.6399999999999997</v>
      </c>
      <c r="AB17" s="28"/>
      <c r="AC17" s="3">
        <v>3</v>
      </c>
      <c r="AD17" s="25"/>
      <c r="AE17" s="25"/>
      <c r="AF17" s="3">
        <v>12.77</v>
      </c>
      <c r="AG17" s="30"/>
      <c r="AI17" s="28"/>
      <c r="AJ17" s="3">
        <v>3</v>
      </c>
      <c r="AK17" s="25"/>
      <c r="AL17" s="25"/>
      <c r="AM17" s="3">
        <v>55.2</v>
      </c>
      <c r="AN17" s="20"/>
      <c r="AP17" s="28"/>
      <c r="AQ17" s="28"/>
      <c r="AR17" s="3">
        <v>3</v>
      </c>
      <c r="AS17" s="25"/>
      <c r="AT17" s="25"/>
      <c r="AU17" s="3">
        <v>1.82</v>
      </c>
    </row>
    <row r="18" spans="1:48" x14ac:dyDescent="0.25">
      <c r="A18" s="3" t="s">
        <v>407</v>
      </c>
      <c r="B18" s="28"/>
      <c r="C18" s="3">
        <v>7</v>
      </c>
      <c r="D18" s="25"/>
      <c r="E18" s="25"/>
      <c r="F18" s="3">
        <v>10.98</v>
      </c>
      <c r="N18" s="28"/>
      <c r="O18" s="4">
        <v>4</v>
      </c>
      <c r="P18" s="25"/>
      <c r="Q18" s="25"/>
      <c r="R18" s="4">
        <v>11.74</v>
      </c>
      <c r="U18" s="28"/>
      <c r="V18" s="4">
        <v>4</v>
      </c>
      <c r="W18" s="25"/>
      <c r="X18" s="25"/>
      <c r="Y18" s="4">
        <v>4.4000000000000004</v>
      </c>
      <c r="AB18" s="28"/>
      <c r="AC18" s="4">
        <v>4</v>
      </c>
      <c r="AD18" s="25"/>
      <c r="AE18" s="25"/>
      <c r="AF18" s="4">
        <v>15.16</v>
      </c>
      <c r="AG18" s="30"/>
      <c r="AI18" s="28"/>
      <c r="AJ18" s="4">
        <v>4</v>
      </c>
      <c r="AK18" s="25"/>
      <c r="AL18" s="25"/>
      <c r="AM18" s="4">
        <v>59.35</v>
      </c>
      <c r="AP18" s="28"/>
      <c r="AQ18" s="28"/>
      <c r="AR18" s="4">
        <v>4</v>
      </c>
      <c r="AS18" s="25"/>
      <c r="AT18" s="25"/>
      <c r="AU18" s="4">
        <v>6.29</v>
      </c>
    </row>
    <row r="19" spans="1:48" x14ac:dyDescent="0.25">
      <c r="A19" s="4" t="s">
        <v>407</v>
      </c>
      <c r="B19" s="28"/>
      <c r="C19" s="4">
        <v>8</v>
      </c>
      <c r="D19" s="25"/>
      <c r="E19" s="25"/>
      <c r="F19" s="4">
        <v>11.92</v>
      </c>
      <c r="N19" s="28"/>
      <c r="O19" s="3">
        <v>5</v>
      </c>
      <c r="P19" s="25"/>
      <c r="Q19" s="25"/>
      <c r="R19" s="3">
        <v>12.47</v>
      </c>
      <c r="U19" s="28"/>
      <c r="V19" s="3">
        <v>5</v>
      </c>
      <c r="W19" s="25"/>
      <c r="X19" s="25"/>
      <c r="Y19" s="3">
        <v>3.94</v>
      </c>
      <c r="AB19" s="28"/>
      <c r="AC19" s="3">
        <v>5</v>
      </c>
      <c r="AD19" s="25"/>
      <c r="AE19" s="25"/>
      <c r="AF19" s="3">
        <v>14.4</v>
      </c>
      <c r="AG19" s="30"/>
      <c r="AI19" s="28"/>
      <c r="AJ19" s="3">
        <v>5</v>
      </c>
      <c r="AK19" s="25"/>
      <c r="AL19" s="25"/>
      <c r="AM19" s="3">
        <v>60.91</v>
      </c>
      <c r="AN19" s="20"/>
      <c r="AP19" s="28"/>
      <c r="AQ19" s="28"/>
      <c r="AR19" s="3">
        <v>5</v>
      </c>
      <c r="AS19" s="25"/>
      <c r="AT19" s="25"/>
      <c r="AU19" s="3">
        <v>1.81</v>
      </c>
    </row>
    <row r="20" spans="1:48" x14ac:dyDescent="0.25">
      <c r="A20" s="3" t="s">
        <v>407</v>
      </c>
      <c r="B20" s="28"/>
      <c r="C20" s="3">
        <v>9</v>
      </c>
      <c r="D20" s="25"/>
      <c r="E20" s="25"/>
      <c r="F20" s="3">
        <v>11.06</v>
      </c>
      <c r="N20" s="28"/>
      <c r="O20" s="4">
        <v>6</v>
      </c>
      <c r="P20" s="25"/>
      <c r="Q20" s="25"/>
      <c r="R20" s="4">
        <v>12.4</v>
      </c>
      <c r="U20" s="28"/>
      <c r="V20" s="4">
        <v>6</v>
      </c>
      <c r="W20" s="25"/>
      <c r="X20" s="25"/>
      <c r="Y20" s="4">
        <v>4.05</v>
      </c>
      <c r="AB20" s="28"/>
      <c r="AC20" s="4">
        <v>6</v>
      </c>
      <c r="AD20" s="25"/>
      <c r="AE20" s="25"/>
      <c r="AF20" s="4">
        <v>15.13</v>
      </c>
      <c r="AG20" s="30"/>
      <c r="AI20" s="28"/>
      <c r="AJ20" s="4">
        <v>6</v>
      </c>
      <c r="AK20" s="25"/>
      <c r="AL20" s="25"/>
      <c r="AM20" s="4">
        <v>156.01</v>
      </c>
      <c r="AP20" s="28"/>
      <c r="AQ20" s="28"/>
      <c r="AR20" s="4">
        <v>6</v>
      </c>
      <c r="AS20" s="25"/>
      <c r="AT20" s="25"/>
      <c r="AU20" s="4">
        <v>1.61</v>
      </c>
    </row>
    <row r="21" spans="1:48" x14ac:dyDescent="0.25">
      <c r="A21" s="4" t="s">
        <v>407</v>
      </c>
      <c r="B21" s="29"/>
      <c r="C21" s="4">
        <v>10</v>
      </c>
      <c r="D21" s="26"/>
      <c r="E21" s="26"/>
      <c r="F21" s="4">
        <v>11.35</v>
      </c>
      <c r="N21" s="28"/>
      <c r="O21" s="3">
        <v>7</v>
      </c>
      <c r="P21" s="25"/>
      <c r="Q21" s="25"/>
      <c r="R21" s="3">
        <v>13.52</v>
      </c>
      <c r="U21" s="28"/>
      <c r="V21" s="3">
        <v>7</v>
      </c>
      <c r="W21" s="25"/>
      <c r="X21" s="25"/>
      <c r="Y21" s="3">
        <v>7.95</v>
      </c>
      <c r="AB21" s="28"/>
      <c r="AC21" s="3">
        <v>7</v>
      </c>
      <c r="AD21" s="25"/>
      <c r="AE21" s="25"/>
      <c r="AF21" s="3">
        <v>14.9</v>
      </c>
      <c r="AG21" s="30"/>
      <c r="AI21" s="28"/>
      <c r="AJ21" s="3">
        <v>7</v>
      </c>
      <c r="AK21" s="25"/>
      <c r="AL21" s="25"/>
      <c r="AM21" s="3">
        <v>62.73</v>
      </c>
      <c r="AN21" s="20"/>
      <c r="AP21" s="28"/>
      <c r="AQ21" s="28"/>
      <c r="AR21" s="3">
        <v>7</v>
      </c>
      <c r="AS21" s="25"/>
      <c r="AT21" s="25"/>
      <c r="AU21" s="3">
        <v>1.59</v>
      </c>
    </row>
    <row r="22" spans="1:48" x14ac:dyDescent="0.25">
      <c r="A22" s="3" t="s">
        <v>407</v>
      </c>
      <c r="B22" s="27" t="s">
        <v>391</v>
      </c>
      <c r="C22" s="3">
        <v>1</v>
      </c>
      <c r="D22" s="24">
        <v>107.63</v>
      </c>
      <c r="E22" s="24">
        <v>75.84</v>
      </c>
      <c r="F22" s="3">
        <v>400.26</v>
      </c>
      <c r="N22" s="28"/>
      <c r="O22" s="4">
        <v>8</v>
      </c>
      <c r="P22" s="25"/>
      <c r="Q22" s="25"/>
      <c r="R22" s="4">
        <v>12.72</v>
      </c>
      <c r="U22" s="28"/>
      <c r="V22" s="4">
        <v>8</v>
      </c>
      <c r="W22" s="25"/>
      <c r="X22" s="25"/>
      <c r="Y22" s="4">
        <v>4.05</v>
      </c>
      <c r="AB22" s="28"/>
      <c r="AC22" s="4">
        <v>8</v>
      </c>
      <c r="AD22" s="25"/>
      <c r="AE22" s="25"/>
      <c r="AF22" s="4">
        <v>11.1</v>
      </c>
      <c r="AG22" s="30"/>
      <c r="AI22" s="28"/>
      <c r="AJ22" s="4">
        <v>8</v>
      </c>
      <c r="AK22" s="25"/>
      <c r="AL22" s="25"/>
      <c r="AM22" s="4">
        <v>87.92</v>
      </c>
      <c r="AP22" s="28"/>
      <c r="AQ22" s="28"/>
      <c r="AR22" s="4">
        <v>8</v>
      </c>
      <c r="AS22" s="25"/>
      <c r="AT22" s="25"/>
      <c r="AU22" s="4">
        <v>1.54</v>
      </c>
    </row>
    <row r="23" spans="1:48" x14ac:dyDescent="0.25">
      <c r="A23" s="4" t="s">
        <v>407</v>
      </c>
      <c r="B23" s="28"/>
      <c r="C23" s="4">
        <v>2</v>
      </c>
      <c r="D23" s="25"/>
      <c r="E23" s="25"/>
      <c r="F23" s="4">
        <v>13.66</v>
      </c>
      <c r="N23" s="28"/>
      <c r="O23" s="3">
        <v>9</v>
      </c>
      <c r="P23" s="25"/>
      <c r="Q23" s="25"/>
      <c r="R23" s="3">
        <v>11.36</v>
      </c>
      <c r="U23" s="28"/>
      <c r="V23" s="3">
        <v>9</v>
      </c>
      <c r="W23" s="25"/>
      <c r="X23" s="25"/>
      <c r="Y23" s="3">
        <v>3.92</v>
      </c>
      <c r="AB23" s="28"/>
      <c r="AC23" s="3">
        <v>9</v>
      </c>
      <c r="AD23" s="25"/>
      <c r="AE23" s="25"/>
      <c r="AF23" s="3">
        <v>14.66</v>
      </c>
      <c r="AG23" s="30"/>
      <c r="AI23" s="28"/>
      <c r="AJ23" s="3">
        <v>9</v>
      </c>
      <c r="AK23" s="25"/>
      <c r="AL23" s="25"/>
      <c r="AM23" s="3">
        <v>86.03</v>
      </c>
      <c r="AN23" s="20"/>
      <c r="AP23" s="28"/>
      <c r="AQ23" s="28"/>
      <c r="AR23" s="3">
        <v>9</v>
      </c>
      <c r="AS23" s="25"/>
      <c r="AT23" s="25"/>
      <c r="AU23" s="3">
        <v>1.59</v>
      </c>
    </row>
    <row r="24" spans="1:48" x14ac:dyDescent="0.25">
      <c r="A24" s="3" t="s">
        <v>407</v>
      </c>
      <c r="B24" s="28"/>
      <c r="C24" s="3">
        <v>3</v>
      </c>
      <c r="D24" s="25"/>
      <c r="E24" s="25"/>
      <c r="F24" s="3">
        <v>12.55</v>
      </c>
      <c r="N24" s="29"/>
      <c r="O24" s="4">
        <v>10</v>
      </c>
      <c r="P24" s="26"/>
      <c r="Q24" s="26"/>
      <c r="R24" s="4">
        <v>13</v>
      </c>
      <c r="U24" s="29"/>
      <c r="V24" s="4">
        <v>10</v>
      </c>
      <c r="W24" s="26"/>
      <c r="X24" s="26"/>
      <c r="Y24" s="4">
        <v>3.61</v>
      </c>
      <c r="AB24" s="29"/>
      <c r="AC24" s="4">
        <v>10</v>
      </c>
      <c r="AD24" s="26"/>
      <c r="AE24" s="26"/>
      <c r="AF24" s="4">
        <v>16.59</v>
      </c>
      <c r="AG24" s="30"/>
      <c r="AI24" s="29"/>
      <c r="AJ24" s="4">
        <v>10</v>
      </c>
      <c r="AK24" s="26"/>
      <c r="AL24" s="26"/>
      <c r="AM24" s="4">
        <v>60.44</v>
      </c>
      <c r="AP24" s="29"/>
      <c r="AQ24" s="29"/>
      <c r="AR24" s="4">
        <v>10</v>
      </c>
      <c r="AS24" s="26"/>
      <c r="AT24" s="26"/>
      <c r="AU24" s="4">
        <v>5.68</v>
      </c>
    </row>
    <row r="25" spans="1:48" x14ac:dyDescent="0.25">
      <c r="A25" s="4" t="s">
        <v>407</v>
      </c>
      <c r="B25" s="28"/>
      <c r="C25" s="4">
        <v>4</v>
      </c>
      <c r="D25" s="25"/>
      <c r="E25" s="25"/>
      <c r="F25" s="4">
        <v>13.74</v>
      </c>
      <c r="N25" s="27" t="s">
        <v>409</v>
      </c>
      <c r="O25" s="3">
        <v>1</v>
      </c>
      <c r="P25" s="24">
        <v>173.93</v>
      </c>
      <c r="Q25" s="24">
        <v>199.62</v>
      </c>
      <c r="R25" s="3">
        <v>39.64</v>
      </c>
      <c r="AB25" s="27" t="s">
        <v>409</v>
      </c>
      <c r="AC25" s="3">
        <v>1</v>
      </c>
      <c r="AD25" s="24">
        <v>180.03</v>
      </c>
      <c r="AE25" s="24">
        <v>484.98</v>
      </c>
      <c r="AF25" s="3">
        <v>642.39</v>
      </c>
    </row>
    <row r="26" spans="1:48" x14ac:dyDescent="0.25">
      <c r="A26" s="3" t="s">
        <v>407</v>
      </c>
      <c r="B26" s="28"/>
      <c r="C26" s="3">
        <v>5</v>
      </c>
      <c r="D26" s="25"/>
      <c r="E26" s="25"/>
      <c r="F26" s="3">
        <v>12.24</v>
      </c>
      <c r="N26" s="28"/>
      <c r="O26" s="4">
        <v>2</v>
      </c>
      <c r="P26" s="25"/>
      <c r="Q26" s="25"/>
      <c r="R26" s="4">
        <v>14.37</v>
      </c>
      <c r="AB26" s="28"/>
      <c r="AC26" s="4">
        <v>2</v>
      </c>
      <c r="AD26" s="25"/>
      <c r="AE26" s="25"/>
      <c r="AF26" s="4">
        <v>7.05</v>
      </c>
    </row>
    <row r="27" spans="1:48" x14ac:dyDescent="0.25">
      <c r="A27" s="4" t="s">
        <v>407</v>
      </c>
      <c r="B27" s="28"/>
      <c r="C27" s="4">
        <v>6</v>
      </c>
      <c r="D27" s="25"/>
      <c r="E27" s="25"/>
      <c r="F27" s="4">
        <v>13.11</v>
      </c>
      <c r="N27" s="28"/>
      <c r="O27" s="3">
        <v>3</v>
      </c>
      <c r="P27" s="25"/>
      <c r="Q27" s="25"/>
      <c r="R27" s="3">
        <v>14.09</v>
      </c>
      <c r="AB27" s="28"/>
      <c r="AC27" s="3">
        <v>3</v>
      </c>
      <c r="AD27" s="25"/>
      <c r="AE27" s="25"/>
      <c r="AF27" s="3">
        <v>6.59</v>
      </c>
    </row>
    <row r="28" spans="1:48" x14ac:dyDescent="0.25">
      <c r="A28" s="3" t="s">
        <v>407</v>
      </c>
      <c r="B28" s="28"/>
      <c r="C28" s="3">
        <v>7</v>
      </c>
      <c r="D28" s="25"/>
      <c r="E28" s="25"/>
      <c r="F28" s="3">
        <v>11.05</v>
      </c>
      <c r="N28" s="28"/>
      <c r="O28" s="4">
        <v>4</v>
      </c>
      <c r="P28" s="25"/>
      <c r="Q28" s="25"/>
      <c r="R28" s="4">
        <v>14</v>
      </c>
      <c r="U28" s="2" t="s">
        <v>1</v>
      </c>
      <c r="V28" s="2" t="s">
        <v>395</v>
      </c>
      <c r="W28" s="2" t="s">
        <v>396</v>
      </c>
      <c r="X28" s="2" t="s">
        <v>399</v>
      </c>
      <c r="Y28" s="2" t="s">
        <v>397</v>
      </c>
      <c r="Z28" s="2" t="s">
        <v>412</v>
      </c>
      <c r="AB28" s="28"/>
      <c r="AC28" s="4">
        <v>4</v>
      </c>
      <c r="AD28" s="25"/>
      <c r="AE28" s="25"/>
      <c r="AF28" s="4">
        <v>4.51</v>
      </c>
    </row>
    <row r="29" spans="1:48" x14ac:dyDescent="0.25">
      <c r="A29" s="4" t="s">
        <v>407</v>
      </c>
      <c r="B29" s="28"/>
      <c r="C29" s="4">
        <v>8</v>
      </c>
      <c r="D29" s="25"/>
      <c r="E29" s="25"/>
      <c r="F29" s="4">
        <v>11.62</v>
      </c>
      <c r="N29" s="28"/>
      <c r="O29" s="3">
        <v>5</v>
      </c>
      <c r="P29" s="25"/>
      <c r="Q29" s="25"/>
      <c r="R29" s="3">
        <v>14.31</v>
      </c>
      <c r="U29" s="27" t="s">
        <v>407</v>
      </c>
      <c r="V29" s="24">
        <v>29.77</v>
      </c>
      <c r="W29" s="24">
        <v>77.55</v>
      </c>
      <c r="X29" s="15">
        <v>1</v>
      </c>
      <c r="Y29" s="15">
        <v>2123.15</v>
      </c>
      <c r="Z29" s="30">
        <f>SLOPE(Y29:Y38,X29:X38)</f>
        <v>-115.71727272727274</v>
      </c>
      <c r="AB29" s="28"/>
      <c r="AC29" s="3">
        <v>5</v>
      </c>
      <c r="AD29" s="25"/>
      <c r="AE29" s="25"/>
      <c r="AF29" s="3">
        <v>6.41</v>
      </c>
      <c r="AI29" s="2" t="s">
        <v>1</v>
      </c>
      <c r="AJ29" s="2" t="s">
        <v>395</v>
      </c>
      <c r="AK29" s="2" t="s">
        <v>396</v>
      </c>
      <c r="AL29" s="2" t="s">
        <v>399</v>
      </c>
      <c r="AM29" s="2" t="s">
        <v>397</v>
      </c>
      <c r="AN29" s="2" t="s">
        <v>412</v>
      </c>
      <c r="AP29" s="2" t="s">
        <v>1</v>
      </c>
      <c r="AQ29" s="2" t="s">
        <v>2</v>
      </c>
      <c r="AR29" s="2" t="s">
        <v>395</v>
      </c>
      <c r="AS29" s="2" t="s">
        <v>396</v>
      </c>
      <c r="AT29" s="2" t="s">
        <v>399</v>
      </c>
      <c r="AU29" s="2" t="s">
        <v>397</v>
      </c>
      <c r="AV29" s="2" t="s">
        <v>412</v>
      </c>
    </row>
    <row r="30" spans="1:48" x14ac:dyDescent="0.25">
      <c r="A30" s="3" t="s">
        <v>407</v>
      </c>
      <c r="B30" s="28"/>
      <c r="C30" s="3">
        <v>9</v>
      </c>
      <c r="D30" s="25"/>
      <c r="E30" s="25"/>
      <c r="F30" s="3">
        <v>11.11</v>
      </c>
      <c r="N30" s="28"/>
      <c r="O30" s="4">
        <v>6</v>
      </c>
      <c r="P30" s="25"/>
      <c r="Q30" s="25"/>
      <c r="R30" s="4">
        <v>14.53</v>
      </c>
      <c r="U30" s="28"/>
      <c r="V30" s="25"/>
      <c r="W30" s="25"/>
      <c r="X30" s="16">
        <v>2</v>
      </c>
      <c r="Y30" s="16">
        <v>17.420000000000002</v>
      </c>
      <c r="Z30" s="30"/>
      <c r="AB30" s="28"/>
      <c r="AC30" s="4">
        <v>6</v>
      </c>
      <c r="AD30" s="25"/>
      <c r="AE30" s="25"/>
      <c r="AF30" s="4">
        <v>4.79</v>
      </c>
      <c r="AI30" s="27" t="s">
        <v>385</v>
      </c>
      <c r="AJ30" s="24">
        <v>198.49</v>
      </c>
      <c r="AK30" s="24">
        <v>3105.3</v>
      </c>
      <c r="AL30" s="3">
        <v>1</v>
      </c>
      <c r="AM30" s="3">
        <v>66.12</v>
      </c>
      <c r="AN30" s="30">
        <f>SLOPE(AM30:AM39,AL30:AL39)</f>
        <v>-3.7304848484848483</v>
      </c>
      <c r="AO30" s="30"/>
      <c r="AP30" s="27" t="s">
        <v>388</v>
      </c>
      <c r="AQ30" s="27" t="s">
        <v>393</v>
      </c>
      <c r="AR30" s="24">
        <v>0.28000000000000003</v>
      </c>
      <c r="AS30" s="24">
        <v>11.88</v>
      </c>
      <c r="AT30" s="3">
        <v>1</v>
      </c>
      <c r="AU30" s="3">
        <v>4.3</v>
      </c>
      <c r="AV30" s="30">
        <f>SLOPE(AU30:AU39,AT30:AT39)</f>
        <v>-4.9030303030303028E-2</v>
      </c>
    </row>
    <row r="31" spans="1:48" x14ac:dyDescent="0.25">
      <c r="A31" s="4" t="s">
        <v>407</v>
      </c>
      <c r="B31" s="29"/>
      <c r="C31" s="4">
        <v>10</v>
      </c>
      <c r="D31" s="26"/>
      <c r="E31" s="26"/>
      <c r="F31" s="4">
        <v>10.130000000000001</v>
      </c>
      <c r="N31" s="28"/>
      <c r="O31" s="3">
        <v>7</v>
      </c>
      <c r="P31" s="25"/>
      <c r="Q31" s="25"/>
      <c r="R31" s="3">
        <v>15.5</v>
      </c>
      <c r="U31" s="28"/>
      <c r="V31" s="25"/>
      <c r="W31" s="25"/>
      <c r="X31" s="15">
        <v>3</v>
      </c>
      <c r="Y31" s="15">
        <v>15.64</v>
      </c>
      <c r="Z31" s="30"/>
      <c r="AB31" s="28"/>
      <c r="AC31" s="3">
        <v>7</v>
      </c>
      <c r="AD31" s="25"/>
      <c r="AE31" s="25"/>
      <c r="AF31" s="3">
        <v>3.48</v>
      </c>
      <c r="AI31" s="28"/>
      <c r="AJ31" s="25"/>
      <c r="AK31" s="25"/>
      <c r="AL31" s="4">
        <v>2</v>
      </c>
      <c r="AM31" s="4">
        <v>7.75</v>
      </c>
      <c r="AN31" s="30"/>
      <c r="AO31" s="30"/>
      <c r="AP31" s="28"/>
      <c r="AQ31" s="28"/>
      <c r="AR31" s="25"/>
      <c r="AS31" s="25"/>
      <c r="AT31" s="4">
        <v>2</v>
      </c>
      <c r="AU31" s="4">
        <v>3.06</v>
      </c>
      <c r="AV31" s="30"/>
    </row>
    <row r="32" spans="1:48" x14ac:dyDescent="0.25">
      <c r="A32" s="3" t="s">
        <v>385</v>
      </c>
      <c r="B32" s="27" t="s">
        <v>389</v>
      </c>
      <c r="C32" s="3">
        <v>1</v>
      </c>
      <c r="D32" s="24">
        <v>403.93</v>
      </c>
      <c r="E32" s="24">
        <v>7975.67</v>
      </c>
      <c r="F32" s="3">
        <v>103.11</v>
      </c>
      <c r="N32" s="28"/>
      <c r="O32" s="4">
        <v>8</v>
      </c>
      <c r="P32" s="25"/>
      <c r="Q32" s="25"/>
      <c r="R32" s="4">
        <v>14.11</v>
      </c>
      <c r="U32" s="28"/>
      <c r="V32" s="25"/>
      <c r="W32" s="25"/>
      <c r="X32" s="16">
        <v>4</v>
      </c>
      <c r="Y32" s="16">
        <v>14.63</v>
      </c>
      <c r="Z32" s="30"/>
      <c r="AB32" s="28"/>
      <c r="AC32" s="4">
        <v>8</v>
      </c>
      <c r="AD32" s="25"/>
      <c r="AE32" s="25"/>
      <c r="AF32" s="4">
        <v>5.55</v>
      </c>
      <c r="AI32" s="28"/>
      <c r="AJ32" s="25"/>
      <c r="AK32" s="25"/>
      <c r="AL32" s="3">
        <v>3</v>
      </c>
      <c r="AM32" s="3">
        <v>6.07</v>
      </c>
      <c r="AN32" s="30"/>
      <c r="AO32" s="30"/>
      <c r="AP32" s="28"/>
      <c r="AQ32" s="28"/>
      <c r="AR32" s="25"/>
      <c r="AS32" s="25"/>
      <c r="AT32" s="3">
        <v>3</v>
      </c>
      <c r="AU32" s="3">
        <v>2.91</v>
      </c>
      <c r="AV32" s="30"/>
    </row>
    <row r="33" spans="1:48" x14ac:dyDescent="0.25">
      <c r="A33" s="4" t="s">
        <v>385</v>
      </c>
      <c r="B33" s="28"/>
      <c r="C33" s="4">
        <v>2</v>
      </c>
      <c r="D33" s="25"/>
      <c r="E33" s="25"/>
      <c r="F33" s="4">
        <v>18.670000000000002</v>
      </c>
      <c r="N33" s="28"/>
      <c r="O33" s="3">
        <v>9</v>
      </c>
      <c r="P33" s="25"/>
      <c r="Q33" s="25"/>
      <c r="R33" s="3">
        <v>14.09</v>
      </c>
      <c r="U33" s="28"/>
      <c r="V33" s="25"/>
      <c r="W33" s="25"/>
      <c r="X33" s="15">
        <v>5</v>
      </c>
      <c r="Y33" s="15">
        <v>23.43</v>
      </c>
      <c r="Z33" s="30"/>
      <c r="AB33" s="28"/>
      <c r="AC33" s="3">
        <v>9</v>
      </c>
      <c r="AD33" s="25"/>
      <c r="AE33" s="25"/>
      <c r="AF33" s="3">
        <v>3.95</v>
      </c>
      <c r="AI33" s="28"/>
      <c r="AJ33" s="25"/>
      <c r="AK33" s="25"/>
      <c r="AL33" s="4">
        <v>4</v>
      </c>
      <c r="AM33" s="4">
        <v>7.22</v>
      </c>
      <c r="AN33" s="30"/>
      <c r="AO33" s="30"/>
      <c r="AP33" s="28"/>
      <c r="AQ33" s="28"/>
      <c r="AR33" s="25"/>
      <c r="AS33" s="25"/>
      <c r="AT33" s="4">
        <v>4</v>
      </c>
      <c r="AU33" s="4">
        <v>8.59</v>
      </c>
      <c r="AV33" s="30"/>
    </row>
    <row r="34" spans="1:48" x14ac:dyDescent="0.25">
      <c r="A34" s="3" t="s">
        <v>385</v>
      </c>
      <c r="B34" s="28"/>
      <c r="C34" s="3">
        <v>3</v>
      </c>
      <c r="D34" s="25"/>
      <c r="E34" s="25"/>
      <c r="F34" s="3">
        <v>12.13</v>
      </c>
      <c r="N34" s="29"/>
      <c r="O34" s="4">
        <v>10</v>
      </c>
      <c r="P34" s="26"/>
      <c r="Q34" s="26"/>
      <c r="R34" s="4">
        <v>14.39</v>
      </c>
      <c r="U34" s="28"/>
      <c r="V34" s="25"/>
      <c r="W34" s="25"/>
      <c r="X34" s="16">
        <v>6</v>
      </c>
      <c r="Y34" s="16">
        <v>10.35</v>
      </c>
      <c r="Z34" s="30"/>
      <c r="AB34" s="29"/>
      <c r="AC34" s="4">
        <v>10</v>
      </c>
      <c r="AD34" s="26"/>
      <c r="AE34" s="26"/>
      <c r="AF34" s="4">
        <v>3.34</v>
      </c>
      <c r="AI34" s="28"/>
      <c r="AJ34" s="25"/>
      <c r="AK34" s="25"/>
      <c r="AL34" s="3">
        <v>5</v>
      </c>
      <c r="AM34" s="3">
        <v>9.3699999999999992</v>
      </c>
      <c r="AN34" s="30"/>
      <c r="AO34" s="30"/>
      <c r="AP34" s="28"/>
      <c r="AQ34" s="28"/>
      <c r="AR34" s="25"/>
      <c r="AS34" s="25"/>
      <c r="AT34" s="3">
        <v>5</v>
      </c>
      <c r="AU34" s="3">
        <v>3.39</v>
      </c>
      <c r="AV34" s="30"/>
    </row>
    <row r="35" spans="1:48" x14ac:dyDescent="0.25">
      <c r="A35" s="4" t="s">
        <v>385</v>
      </c>
      <c r="B35" s="28"/>
      <c r="C35" s="4">
        <v>4</v>
      </c>
      <c r="D35" s="25"/>
      <c r="E35" s="25"/>
      <c r="F35" s="4">
        <v>11.74</v>
      </c>
      <c r="N35" s="27" t="s">
        <v>408</v>
      </c>
      <c r="O35" s="3">
        <v>1</v>
      </c>
      <c r="P35" s="24">
        <v>8.52</v>
      </c>
      <c r="Q35" s="24">
        <v>40.799999999999997</v>
      </c>
      <c r="R35" s="3">
        <v>571.78</v>
      </c>
      <c r="U35" s="28"/>
      <c r="V35" s="25"/>
      <c r="W35" s="25"/>
      <c r="X35" s="15">
        <v>7</v>
      </c>
      <c r="Y35" s="15">
        <v>10.98</v>
      </c>
      <c r="Z35" s="30"/>
      <c r="AB35" s="27" t="s">
        <v>408</v>
      </c>
      <c r="AC35" s="3">
        <v>1</v>
      </c>
      <c r="AD35" s="24">
        <v>7.79</v>
      </c>
      <c r="AE35" s="24">
        <v>369.07</v>
      </c>
      <c r="AF35" s="3">
        <v>615.20000000000005</v>
      </c>
      <c r="AI35" s="28"/>
      <c r="AJ35" s="25"/>
      <c r="AK35" s="25"/>
      <c r="AL35" s="4">
        <v>6</v>
      </c>
      <c r="AM35" s="4">
        <v>3.6</v>
      </c>
      <c r="AN35" s="30"/>
      <c r="AO35" s="30"/>
      <c r="AP35" s="28"/>
      <c r="AQ35" s="28"/>
      <c r="AR35" s="25"/>
      <c r="AS35" s="25"/>
      <c r="AT35" s="4">
        <v>6</v>
      </c>
      <c r="AU35" s="4">
        <v>3.2</v>
      </c>
      <c r="AV35" s="30"/>
    </row>
    <row r="36" spans="1:48" x14ac:dyDescent="0.25">
      <c r="A36" s="3" t="s">
        <v>385</v>
      </c>
      <c r="B36" s="28"/>
      <c r="C36" s="3">
        <v>5</v>
      </c>
      <c r="D36" s="25"/>
      <c r="E36" s="25"/>
      <c r="F36" s="3">
        <v>12.47</v>
      </c>
      <c r="N36" s="28"/>
      <c r="O36" s="4">
        <v>2</v>
      </c>
      <c r="P36" s="25"/>
      <c r="Q36" s="25"/>
      <c r="R36" s="4">
        <v>58.71</v>
      </c>
      <c r="U36" s="28"/>
      <c r="V36" s="25"/>
      <c r="W36" s="25"/>
      <c r="X36" s="16">
        <v>8</v>
      </c>
      <c r="Y36" s="16">
        <v>11.92</v>
      </c>
      <c r="Z36" s="30"/>
      <c r="AB36" s="28"/>
      <c r="AC36" s="4">
        <v>2</v>
      </c>
      <c r="AD36" s="25"/>
      <c r="AE36" s="25"/>
      <c r="AF36" s="4">
        <v>51.31</v>
      </c>
      <c r="AI36" s="28"/>
      <c r="AJ36" s="25"/>
      <c r="AK36" s="25"/>
      <c r="AL36" s="3">
        <v>7</v>
      </c>
      <c r="AM36" s="3">
        <v>7.45</v>
      </c>
      <c r="AN36" s="30"/>
      <c r="AO36" s="30"/>
      <c r="AP36" s="28"/>
      <c r="AQ36" s="28"/>
      <c r="AR36" s="25"/>
      <c r="AS36" s="25"/>
      <c r="AT36" s="3">
        <v>7</v>
      </c>
      <c r="AU36" s="3">
        <v>5.27</v>
      </c>
      <c r="AV36" s="30"/>
    </row>
    <row r="37" spans="1:48" x14ac:dyDescent="0.25">
      <c r="A37" s="4" t="s">
        <v>385</v>
      </c>
      <c r="B37" s="28"/>
      <c r="C37" s="4">
        <v>6</v>
      </c>
      <c r="D37" s="25"/>
      <c r="E37" s="25"/>
      <c r="F37" s="4">
        <v>12.4</v>
      </c>
      <c r="N37" s="28"/>
      <c r="O37" s="3">
        <v>3</v>
      </c>
      <c r="P37" s="25"/>
      <c r="Q37" s="25"/>
      <c r="R37" s="3">
        <v>58.23</v>
      </c>
      <c r="U37" s="28"/>
      <c r="V37" s="25"/>
      <c r="W37" s="25"/>
      <c r="X37" s="15">
        <v>9</v>
      </c>
      <c r="Y37" s="15">
        <v>11.06</v>
      </c>
      <c r="Z37" s="30"/>
      <c r="AB37" s="28"/>
      <c r="AC37" s="3">
        <v>3</v>
      </c>
      <c r="AD37" s="25"/>
      <c r="AE37" s="25"/>
      <c r="AF37" s="3">
        <v>46.46</v>
      </c>
      <c r="AI37" s="28"/>
      <c r="AJ37" s="25"/>
      <c r="AK37" s="25"/>
      <c r="AL37" s="4">
        <v>8</v>
      </c>
      <c r="AM37" s="4">
        <v>3.4</v>
      </c>
      <c r="AN37" s="30"/>
      <c r="AO37" s="30"/>
      <c r="AP37" s="28"/>
      <c r="AQ37" s="28"/>
      <c r="AR37" s="25"/>
      <c r="AS37" s="25"/>
      <c r="AT37" s="4">
        <v>8</v>
      </c>
      <c r="AU37" s="4">
        <v>3.97</v>
      </c>
      <c r="AV37" s="30"/>
    </row>
    <row r="38" spans="1:48" x14ac:dyDescent="0.25">
      <c r="A38" s="3" t="s">
        <v>385</v>
      </c>
      <c r="B38" s="28"/>
      <c r="C38" s="3">
        <v>7</v>
      </c>
      <c r="D38" s="25"/>
      <c r="E38" s="25"/>
      <c r="F38" s="3">
        <v>13.52</v>
      </c>
      <c r="N38" s="28"/>
      <c r="O38" s="4">
        <v>4</v>
      </c>
      <c r="P38" s="25"/>
      <c r="Q38" s="25"/>
      <c r="R38" s="4">
        <v>58.7</v>
      </c>
      <c r="U38" s="29"/>
      <c r="V38" s="26"/>
      <c r="W38" s="26"/>
      <c r="X38" s="16">
        <v>10</v>
      </c>
      <c r="Y38" s="16">
        <v>11.35</v>
      </c>
      <c r="Z38" s="30"/>
      <c r="AB38" s="28"/>
      <c r="AC38" s="4">
        <v>4</v>
      </c>
      <c r="AD38" s="25"/>
      <c r="AE38" s="25"/>
      <c r="AF38" s="4">
        <v>46.51</v>
      </c>
      <c r="AI38" s="28"/>
      <c r="AJ38" s="25"/>
      <c r="AK38" s="25"/>
      <c r="AL38" s="3">
        <v>9</v>
      </c>
      <c r="AM38" s="3">
        <v>3.27</v>
      </c>
      <c r="AN38" s="30"/>
      <c r="AO38" s="30"/>
      <c r="AP38" s="28"/>
      <c r="AQ38" s="28"/>
      <c r="AR38" s="25"/>
      <c r="AS38" s="25"/>
      <c r="AT38" s="3">
        <v>9</v>
      </c>
      <c r="AU38" s="3">
        <v>3.51</v>
      </c>
      <c r="AV38" s="30"/>
    </row>
    <row r="39" spans="1:48" x14ac:dyDescent="0.25">
      <c r="A39" s="4" t="s">
        <v>385</v>
      </c>
      <c r="B39" s="28"/>
      <c r="C39" s="4">
        <v>8</v>
      </c>
      <c r="D39" s="25"/>
      <c r="E39" s="25"/>
      <c r="F39" s="4">
        <v>12.72</v>
      </c>
      <c r="N39" s="28"/>
      <c r="O39" s="3">
        <v>5</v>
      </c>
      <c r="P39" s="25"/>
      <c r="Q39" s="25"/>
      <c r="R39" s="3">
        <v>59.58</v>
      </c>
      <c r="U39" s="27" t="s">
        <v>385</v>
      </c>
      <c r="V39" s="24">
        <v>91.5</v>
      </c>
      <c r="W39" s="24">
        <v>236.33</v>
      </c>
      <c r="X39" s="15">
        <v>1</v>
      </c>
      <c r="Y39" s="15">
        <v>1088.0999999999999</v>
      </c>
      <c r="Z39" s="30">
        <f>SLOPE(Y39:Y48,X39:X48)</f>
        <v>-59.151636363636356</v>
      </c>
      <c r="AB39" s="28"/>
      <c r="AC39" s="3">
        <v>5</v>
      </c>
      <c r="AD39" s="25"/>
      <c r="AE39" s="25"/>
      <c r="AF39" s="3">
        <v>54.38</v>
      </c>
      <c r="AI39" s="29"/>
      <c r="AJ39" s="26"/>
      <c r="AK39" s="26"/>
      <c r="AL39" s="4">
        <v>10</v>
      </c>
      <c r="AM39" s="4">
        <v>3.26</v>
      </c>
      <c r="AN39" s="30"/>
      <c r="AO39" s="30"/>
      <c r="AP39" s="29"/>
      <c r="AQ39" s="29"/>
      <c r="AR39" s="26"/>
      <c r="AS39" s="26"/>
      <c r="AT39" s="4">
        <v>10</v>
      </c>
      <c r="AU39" s="4">
        <v>3.59</v>
      </c>
      <c r="AV39" s="30"/>
    </row>
    <row r="40" spans="1:48" x14ac:dyDescent="0.25">
      <c r="A40" s="3" t="s">
        <v>385</v>
      </c>
      <c r="B40" s="28"/>
      <c r="C40" s="3">
        <v>9</v>
      </c>
      <c r="D40" s="25"/>
      <c r="E40" s="25"/>
      <c r="F40" s="3">
        <v>11.36</v>
      </c>
      <c r="N40" s="28"/>
      <c r="O40" s="4">
        <v>6</v>
      </c>
      <c r="P40" s="25"/>
      <c r="Q40" s="25"/>
      <c r="R40" s="4">
        <v>243.13</v>
      </c>
      <c r="U40" s="28"/>
      <c r="V40" s="25"/>
      <c r="W40" s="25"/>
      <c r="X40" s="16">
        <v>2</v>
      </c>
      <c r="Y40" s="16">
        <v>4.9800000000000004</v>
      </c>
      <c r="Z40" s="30"/>
      <c r="AB40" s="28"/>
      <c r="AC40" s="4">
        <v>6</v>
      </c>
      <c r="AD40" s="25"/>
      <c r="AE40" s="25"/>
      <c r="AF40" s="4">
        <v>52.49</v>
      </c>
      <c r="AI40" s="27" t="s">
        <v>408</v>
      </c>
      <c r="AJ40" s="24">
        <v>7.58</v>
      </c>
      <c r="AK40" s="24">
        <v>200.19</v>
      </c>
      <c r="AL40" s="3">
        <v>1</v>
      </c>
      <c r="AM40" s="3">
        <v>534.82000000000005</v>
      </c>
      <c r="AN40" s="30">
        <f>SLOPE(AM40:AM49,AL40:AL49)</f>
        <v>-23.200606060606063</v>
      </c>
      <c r="AO40" s="30"/>
      <c r="AP40" s="27" t="s">
        <v>388</v>
      </c>
      <c r="AQ40" s="27" t="s">
        <v>394</v>
      </c>
      <c r="AR40" s="24">
        <v>0.32</v>
      </c>
      <c r="AS40" s="24">
        <v>176.94</v>
      </c>
      <c r="AT40" s="3">
        <v>1</v>
      </c>
      <c r="AU40" s="3">
        <v>8.27</v>
      </c>
      <c r="AV40" s="30">
        <f>SLOPE(AU40:AU49,AT40:AT49)</f>
        <v>-0.24151515151515149</v>
      </c>
    </row>
    <row r="41" spans="1:48" x14ac:dyDescent="0.25">
      <c r="A41" s="4" t="s">
        <v>385</v>
      </c>
      <c r="B41" s="29"/>
      <c r="C41" s="4">
        <v>10</v>
      </c>
      <c r="D41" s="26"/>
      <c r="E41" s="26"/>
      <c r="F41" s="4">
        <v>13</v>
      </c>
      <c r="N41" s="28"/>
      <c r="O41" s="3">
        <v>7</v>
      </c>
      <c r="P41" s="25"/>
      <c r="Q41" s="25"/>
      <c r="R41" s="3">
        <v>63.5</v>
      </c>
      <c r="U41" s="28"/>
      <c r="V41" s="25"/>
      <c r="W41" s="25"/>
      <c r="X41" s="15">
        <v>3</v>
      </c>
      <c r="Y41" s="15">
        <v>4.6399999999999997</v>
      </c>
      <c r="Z41" s="30"/>
      <c r="AB41" s="28"/>
      <c r="AC41" s="3">
        <v>7</v>
      </c>
      <c r="AD41" s="25"/>
      <c r="AE41" s="25"/>
      <c r="AF41" s="3">
        <v>49.8</v>
      </c>
      <c r="AI41" s="28"/>
      <c r="AJ41" s="25"/>
      <c r="AK41" s="25"/>
      <c r="AL41" s="4">
        <v>2</v>
      </c>
      <c r="AM41" s="4">
        <v>61.39</v>
      </c>
      <c r="AN41" s="30"/>
      <c r="AO41" s="30"/>
      <c r="AP41" s="28"/>
      <c r="AQ41" s="28"/>
      <c r="AR41" s="25"/>
      <c r="AS41" s="25"/>
      <c r="AT41" s="4">
        <v>2</v>
      </c>
      <c r="AU41" s="4">
        <v>1.71</v>
      </c>
      <c r="AV41" s="30"/>
    </row>
    <row r="42" spans="1:48" x14ac:dyDescent="0.25">
      <c r="A42" s="3" t="s">
        <v>385</v>
      </c>
      <c r="B42" s="27" t="s">
        <v>390</v>
      </c>
      <c r="C42" s="3">
        <v>1</v>
      </c>
      <c r="D42" s="24">
        <v>91.5</v>
      </c>
      <c r="E42" s="24">
        <v>236.33</v>
      </c>
      <c r="F42" s="3">
        <v>1088.0999999999999</v>
      </c>
      <c r="N42" s="28"/>
      <c r="O42" s="4">
        <v>8</v>
      </c>
      <c r="P42" s="25"/>
      <c r="Q42" s="25"/>
      <c r="R42" s="4">
        <v>70.39</v>
      </c>
      <c r="U42" s="28"/>
      <c r="V42" s="25"/>
      <c r="W42" s="25"/>
      <c r="X42" s="16">
        <v>4</v>
      </c>
      <c r="Y42" s="16">
        <v>4.4000000000000004</v>
      </c>
      <c r="Z42" s="30"/>
      <c r="AB42" s="28"/>
      <c r="AC42" s="4">
        <v>8</v>
      </c>
      <c r="AD42" s="25"/>
      <c r="AE42" s="25"/>
      <c r="AF42" s="4">
        <v>47.88</v>
      </c>
      <c r="AI42" s="28"/>
      <c r="AJ42" s="25"/>
      <c r="AK42" s="25"/>
      <c r="AL42" s="3">
        <v>3</v>
      </c>
      <c r="AM42" s="3">
        <v>55.2</v>
      </c>
      <c r="AN42" s="30"/>
      <c r="AO42" s="30"/>
      <c r="AP42" s="28"/>
      <c r="AQ42" s="28"/>
      <c r="AR42" s="25"/>
      <c r="AS42" s="25"/>
      <c r="AT42" s="3">
        <v>3</v>
      </c>
      <c r="AU42" s="3">
        <v>1.82</v>
      </c>
      <c r="AV42" s="30"/>
    </row>
    <row r="43" spans="1:48" x14ac:dyDescent="0.25">
      <c r="A43" s="4" t="s">
        <v>385</v>
      </c>
      <c r="B43" s="28"/>
      <c r="C43" s="4">
        <v>2</v>
      </c>
      <c r="D43" s="25"/>
      <c r="E43" s="25"/>
      <c r="F43" s="4">
        <v>4.9800000000000004</v>
      </c>
      <c r="N43" s="28"/>
      <c r="O43" s="3">
        <v>9</v>
      </c>
      <c r="P43" s="25"/>
      <c r="Q43" s="25"/>
      <c r="R43" s="3">
        <v>57.83</v>
      </c>
      <c r="U43" s="28"/>
      <c r="V43" s="25"/>
      <c r="W43" s="25"/>
      <c r="X43" s="15">
        <v>5</v>
      </c>
      <c r="Y43" s="15">
        <v>3.94</v>
      </c>
      <c r="Z43" s="30"/>
      <c r="AB43" s="28"/>
      <c r="AC43" s="3">
        <v>9</v>
      </c>
      <c r="AD43" s="25"/>
      <c r="AE43" s="25"/>
      <c r="AF43" s="3">
        <v>61.79</v>
      </c>
      <c r="AI43" s="28"/>
      <c r="AJ43" s="25"/>
      <c r="AK43" s="25"/>
      <c r="AL43" s="4">
        <v>4</v>
      </c>
      <c r="AM43" s="4">
        <v>59.35</v>
      </c>
      <c r="AN43" s="30"/>
      <c r="AO43" s="30"/>
      <c r="AP43" s="28"/>
      <c r="AQ43" s="28"/>
      <c r="AR43" s="25"/>
      <c r="AS43" s="25"/>
      <c r="AT43" s="4">
        <v>4</v>
      </c>
      <c r="AU43" s="4">
        <v>6.29</v>
      </c>
      <c r="AV43" s="30"/>
    </row>
    <row r="44" spans="1:48" x14ac:dyDescent="0.25">
      <c r="A44" s="3" t="s">
        <v>385</v>
      </c>
      <c r="B44" s="28"/>
      <c r="C44" s="3">
        <v>3</v>
      </c>
      <c r="D44" s="25"/>
      <c r="E44" s="25"/>
      <c r="F44" s="3">
        <v>4.6399999999999997</v>
      </c>
      <c r="N44" s="29"/>
      <c r="O44" s="4">
        <v>10</v>
      </c>
      <c r="P44" s="26"/>
      <c r="Q44" s="26"/>
      <c r="R44" s="4">
        <v>62.69</v>
      </c>
      <c r="U44" s="28"/>
      <c r="V44" s="25"/>
      <c r="W44" s="25"/>
      <c r="X44" s="16">
        <v>6</v>
      </c>
      <c r="Y44" s="16">
        <v>4.05</v>
      </c>
      <c r="Z44" s="30"/>
      <c r="AB44" s="29"/>
      <c r="AC44" s="4">
        <v>10</v>
      </c>
      <c r="AD44" s="26"/>
      <c r="AE44" s="26"/>
      <c r="AF44" s="4">
        <v>68.09</v>
      </c>
      <c r="AI44" s="28"/>
      <c r="AJ44" s="25"/>
      <c r="AK44" s="25"/>
      <c r="AL44" s="3">
        <v>5</v>
      </c>
      <c r="AM44" s="3">
        <v>60.91</v>
      </c>
      <c r="AN44" s="30"/>
      <c r="AO44" s="30"/>
      <c r="AP44" s="28"/>
      <c r="AQ44" s="28"/>
      <c r="AR44" s="25"/>
      <c r="AS44" s="25"/>
      <c r="AT44" s="3">
        <v>5</v>
      </c>
      <c r="AU44" s="3">
        <v>1.81</v>
      </c>
      <c r="AV44" s="30"/>
    </row>
    <row r="45" spans="1:48" x14ac:dyDescent="0.25">
      <c r="A45" s="4" t="s">
        <v>385</v>
      </c>
      <c r="B45" s="28"/>
      <c r="C45" s="4">
        <v>4</v>
      </c>
      <c r="D45" s="25"/>
      <c r="E45" s="25"/>
      <c r="F45" s="4">
        <v>4.4000000000000004</v>
      </c>
      <c r="U45" s="28"/>
      <c r="V45" s="25"/>
      <c r="W45" s="25"/>
      <c r="X45" s="15">
        <v>7</v>
      </c>
      <c r="Y45" s="15">
        <v>7.95</v>
      </c>
      <c r="Z45" s="30"/>
      <c r="AI45" s="28"/>
      <c r="AJ45" s="25"/>
      <c r="AK45" s="25"/>
      <c r="AL45" s="4">
        <v>6</v>
      </c>
      <c r="AM45" s="4">
        <v>156.01</v>
      </c>
      <c r="AN45" s="30"/>
      <c r="AO45" s="30"/>
      <c r="AP45" s="28"/>
      <c r="AQ45" s="28"/>
      <c r="AR45" s="25"/>
      <c r="AS45" s="25"/>
      <c r="AT45" s="4">
        <v>6</v>
      </c>
      <c r="AU45" s="4">
        <v>1.61</v>
      </c>
      <c r="AV45" s="30"/>
    </row>
    <row r="46" spans="1:48" x14ac:dyDescent="0.25">
      <c r="A46" s="3" t="s">
        <v>385</v>
      </c>
      <c r="B46" s="28"/>
      <c r="C46" s="3">
        <v>5</v>
      </c>
      <c r="D46" s="25"/>
      <c r="E46" s="25"/>
      <c r="F46" s="3">
        <v>3.94</v>
      </c>
      <c r="U46" s="28"/>
      <c r="V46" s="25"/>
      <c r="W46" s="25"/>
      <c r="X46" s="16">
        <v>8</v>
      </c>
      <c r="Y46" s="16">
        <v>4.05</v>
      </c>
      <c r="Z46" s="30"/>
      <c r="AI46" s="28"/>
      <c r="AJ46" s="25"/>
      <c r="AK46" s="25"/>
      <c r="AL46" s="3">
        <v>7</v>
      </c>
      <c r="AM46" s="3">
        <v>62.73</v>
      </c>
      <c r="AN46" s="30"/>
      <c r="AO46" s="30"/>
      <c r="AP46" s="28"/>
      <c r="AQ46" s="28"/>
      <c r="AR46" s="25"/>
      <c r="AS46" s="25"/>
      <c r="AT46" s="3">
        <v>7</v>
      </c>
      <c r="AU46" s="3">
        <v>1.59</v>
      </c>
      <c r="AV46" s="30"/>
    </row>
    <row r="47" spans="1:48" x14ac:dyDescent="0.25">
      <c r="A47" s="4" t="s">
        <v>385</v>
      </c>
      <c r="B47" s="28"/>
      <c r="C47" s="4">
        <v>6</v>
      </c>
      <c r="D47" s="25"/>
      <c r="E47" s="25"/>
      <c r="F47" s="4">
        <v>4.05</v>
      </c>
      <c r="U47" s="28"/>
      <c r="V47" s="25"/>
      <c r="W47" s="25"/>
      <c r="X47" s="15">
        <v>9</v>
      </c>
      <c r="Y47" s="15">
        <v>3.92</v>
      </c>
      <c r="Z47" s="30"/>
      <c r="AI47" s="28"/>
      <c r="AJ47" s="25"/>
      <c r="AK47" s="25"/>
      <c r="AL47" s="4">
        <v>8</v>
      </c>
      <c r="AM47" s="4">
        <v>87.92</v>
      </c>
      <c r="AN47" s="30"/>
      <c r="AO47" s="30"/>
      <c r="AP47" s="28"/>
      <c r="AQ47" s="28"/>
      <c r="AR47" s="25"/>
      <c r="AS47" s="25"/>
      <c r="AT47" s="4">
        <v>8</v>
      </c>
      <c r="AU47" s="4">
        <v>1.54</v>
      </c>
      <c r="AV47" s="30"/>
    </row>
    <row r="48" spans="1:48" x14ac:dyDescent="0.25">
      <c r="A48" s="3" t="s">
        <v>385</v>
      </c>
      <c r="B48" s="28"/>
      <c r="C48" s="3">
        <v>7</v>
      </c>
      <c r="D48" s="25"/>
      <c r="E48" s="25"/>
      <c r="F48" s="3">
        <v>7.95</v>
      </c>
      <c r="N48" s="2" t="s">
        <v>1</v>
      </c>
      <c r="O48" s="2" t="s">
        <v>395</v>
      </c>
      <c r="P48" s="2" t="s">
        <v>396</v>
      </c>
      <c r="Q48" s="2" t="s">
        <v>399</v>
      </c>
      <c r="R48" s="2" t="s">
        <v>397</v>
      </c>
      <c r="U48" s="29"/>
      <c r="V48" s="26"/>
      <c r="W48" s="26"/>
      <c r="X48" s="16">
        <v>10</v>
      </c>
      <c r="Y48" s="16">
        <v>3.61</v>
      </c>
      <c r="Z48" s="30"/>
      <c r="AI48" s="28"/>
      <c r="AJ48" s="25"/>
      <c r="AK48" s="25"/>
      <c r="AL48" s="3">
        <v>9</v>
      </c>
      <c r="AM48" s="3">
        <v>86.03</v>
      </c>
      <c r="AN48" s="30"/>
      <c r="AO48" s="30"/>
      <c r="AP48" s="28"/>
      <c r="AQ48" s="28"/>
      <c r="AR48" s="25"/>
      <c r="AS48" s="25"/>
      <c r="AT48" s="3">
        <v>9</v>
      </c>
      <c r="AU48" s="3">
        <v>1.59</v>
      </c>
      <c r="AV48" s="30"/>
    </row>
    <row r="49" spans="1:48" x14ac:dyDescent="0.25">
      <c r="A49" s="4" t="s">
        <v>385</v>
      </c>
      <c r="B49" s="28"/>
      <c r="C49" s="4">
        <v>8</v>
      </c>
      <c r="D49" s="25"/>
      <c r="E49" s="25"/>
      <c r="F49" s="4">
        <v>4.05</v>
      </c>
      <c r="N49" s="27" t="s">
        <v>407</v>
      </c>
      <c r="O49" s="24">
        <v>84.14</v>
      </c>
      <c r="P49" s="24">
        <v>90.88</v>
      </c>
      <c r="Q49" s="3">
        <v>1</v>
      </c>
      <c r="R49" s="3">
        <v>104.4</v>
      </c>
      <c r="S49" s="30">
        <f>SLOPE(R49:R58,Q49:Q58)</f>
        <v>-5.6053333333333324</v>
      </c>
      <c r="AI49" s="29"/>
      <c r="AJ49" s="26"/>
      <c r="AK49" s="26"/>
      <c r="AL49" s="4">
        <v>10</v>
      </c>
      <c r="AM49" s="4">
        <v>60.44</v>
      </c>
      <c r="AN49" s="30"/>
      <c r="AO49" s="30"/>
      <c r="AP49" s="29"/>
      <c r="AQ49" s="29"/>
      <c r="AR49" s="26"/>
      <c r="AS49" s="26"/>
      <c r="AT49" s="4">
        <v>10</v>
      </c>
      <c r="AU49" s="4">
        <v>5.68</v>
      </c>
      <c r="AV49" s="30"/>
    </row>
    <row r="50" spans="1:48" x14ac:dyDescent="0.25">
      <c r="A50" s="3" t="s">
        <v>385</v>
      </c>
      <c r="B50" s="28"/>
      <c r="C50" s="3">
        <v>9</v>
      </c>
      <c r="D50" s="25"/>
      <c r="E50" s="25"/>
      <c r="F50" s="3">
        <v>3.92</v>
      </c>
      <c r="N50" s="28"/>
      <c r="O50" s="25"/>
      <c r="P50" s="25"/>
      <c r="Q50" s="4">
        <v>2</v>
      </c>
      <c r="R50" s="4">
        <v>10.67</v>
      </c>
      <c r="S50" s="30"/>
    </row>
    <row r="51" spans="1:48" x14ac:dyDescent="0.25">
      <c r="A51" s="4" t="s">
        <v>385</v>
      </c>
      <c r="B51" s="29"/>
      <c r="C51" s="4">
        <v>10</v>
      </c>
      <c r="D51" s="26"/>
      <c r="E51" s="26"/>
      <c r="F51" s="4">
        <v>3.61</v>
      </c>
      <c r="N51" s="28"/>
      <c r="O51" s="25"/>
      <c r="P51" s="25"/>
      <c r="Q51" s="3">
        <v>3</v>
      </c>
      <c r="R51" s="3">
        <v>7.43</v>
      </c>
      <c r="S51" s="30"/>
      <c r="AB51" s="2" t="s">
        <v>1</v>
      </c>
      <c r="AC51" s="2" t="s">
        <v>395</v>
      </c>
      <c r="AD51" s="2" t="s">
        <v>396</v>
      </c>
      <c r="AE51" s="2" t="s">
        <v>399</v>
      </c>
      <c r="AF51" s="2" t="s">
        <v>397</v>
      </c>
      <c r="AG51" s="2" t="s">
        <v>412</v>
      </c>
    </row>
    <row r="52" spans="1:48" x14ac:dyDescent="0.25">
      <c r="A52" s="3" t="s">
        <v>385</v>
      </c>
      <c r="B52" s="27" t="s">
        <v>391</v>
      </c>
      <c r="C52" s="3">
        <v>1</v>
      </c>
      <c r="D52" s="24">
        <v>359.17</v>
      </c>
      <c r="E52" s="24">
        <v>6498.16</v>
      </c>
      <c r="F52" s="3">
        <v>387.37</v>
      </c>
      <c r="N52" s="28"/>
      <c r="O52" s="25"/>
      <c r="P52" s="25"/>
      <c r="Q52" s="4">
        <v>4</v>
      </c>
      <c r="R52" s="4">
        <v>7.55</v>
      </c>
      <c r="S52" s="30"/>
      <c r="AB52" s="27" t="s">
        <v>407</v>
      </c>
      <c r="AC52" s="24">
        <v>107.63</v>
      </c>
      <c r="AD52" s="24">
        <v>75.84</v>
      </c>
      <c r="AE52" s="3">
        <v>1</v>
      </c>
      <c r="AF52" s="3">
        <v>400.26</v>
      </c>
      <c r="AG52" s="30">
        <f>SLOPE(AF52:AF61,AE52:AE61)</f>
        <v>-21.459818181818182</v>
      </c>
    </row>
    <row r="53" spans="1:48" x14ac:dyDescent="0.25">
      <c r="A53" s="4" t="s">
        <v>385</v>
      </c>
      <c r="B53" s="28"/>
      <c r="C53" s="4">
        <v>2</v>
      </c>
      <c r="D53" s="25"/>
      <c r="E53" s="25"/>
      <c r="F53" s="4">
        <v>13.11</v>
      </c>
      <c r="N53" s="28"/>
      <c r="O53" s="25"/>
      <c r="P53" s="25"/>
      <c r="Q53" s="3">
        <v>5</v>
      </c>
      <c r="R53" s="3">
        <v>5.66</v>
      </c>
      <c r="S53" s="30"/>
      <c r="AB53" s="28"/>
      <c r="AC53" s="25"/>
      <c r="AD53" s="25"/>
      <c r="AE53" s="4">
        <v>2</v>
      </c>
      <c r="AF53" s="4">
        <v>13.66</v>
      </c>
      <c r="AG53" s="30"/>
    </row>
    <row r="54" spans="1:48" x14ac:dyDescent="0.25">
      <c r="A54" s="3" t="s">
        <v>385</v>
      </c>
      <c r="B54" s="28"/>
      <c r="C54" s="3">
        <v>3</v>
      </c>
      <c r="D54" s="25"/>
      <c r="E54" s="25"/>
      <c r="F54" s="3">
        <v>12.77</v>
      </c>
      <c r="N54" s="28"/>
      <c r="O54" s="25"/>
      <c r="P54" s="25"/>
      <c r="Q54" s="4">
        <v>6</v>
      </c>
      <c r="R54" s="4">
        <v>6.48</v>
      </c>
      <c r="S54" s="30"/>
      <c r="V54">
        <v>-5.6053333333333324</v>
      </c>
      <c r="AB54" s="28"/>
      <c r="AC54" s="25"/>
      <c r="AD54" s="25"/>
      <c r="AE54" s="3">
        <v>3</v>
      </c>
      <c r="AF54" s="3">
        <v>12.55</v>
      </c>
      <c r="AG54" s="30"/>
    </row>
    <row r="55" spans="1:48" x14ac:dyDescent="0.25">
      <c r="A55" s="4" t="s">
        <v>385</v>
      </c>
      <c r="B55" s="28"/>
      <c r="C55" s="4">
        <v>4</v>
      </c>
      <c r="D55" s="25"/>
      <c r="E55" s="25"/>
      <c r="F55" s="4">
        <v>15.16</v>
      </c>
      <c r="N55" s="28"/>
      <c r="O55" s="25"/>
      <c r="P55" s="25"/>
      <c r="Q55" s="3">
        <v>7</v>
      </c>
      <c r="R55" s="3">
        <v>6.35</v>
      </c>
      <c r="S55" s="30"/>
      <c r="AB55" s="28"/>
      <c r="AC55" s="25"/>
      <c r="AD55" s="25"/>
      <c r="AE55" s="4">
        <v>4</v>
      </c>
      <c r="AF55" s="4">
        <v>13.74</v>
      </c>
      <c r="AG55" s="30"/>
    </row>
    <row r="56" spans="1:48" x14ac:dyDescent="0.25">
      <c r="A56" s="3" t="s">
        <v>385</v>
      </c>
      <c r="B56" s="28"/>
      <c r="C56" s="3">
        <v>5</v>
      </c>
      <c r="D56" s="25"/>
      <c r="E56" s="25"/>
      <c r="F56" s="3">
        <v>14.4</v>
      </c>
      <c r="N56" s="28"/>
      <c r="O56" s="25"/>
      <c r="P56" s="25"/>
      <c r="Q56" s="4">
        <v>8</v>
      </c>
      <c r="R56" s="4">
        <v>6.61</v>
      </c>
      <c r="S56" s="30"/>
      <c r="AB56" s="28"/>
      <c r="AC56" s="25"/>
      <c r="AD56" s="25"/>
      <c r="AE56" s="3">
        <v>5</v>
      </c>
      <c r="AF56" s="3">
        <v>12.24</v>
      </c>
      <c r="AG56" s="30"/>
    </row>
    <row r="57" spans="1:48" x14ac:dyDescent="0.25">
      <c r="A57" s="4" t="s">
        <v>385</v>
      </c>
      <c r="B57" s="28"/>
      <c r="C57" s="4">
        <v>6</v>
      </c>
      <c r="D57" s="25"/>
      <c r="E57" s="25"/>
      <c r="F57" s="4">
        <v>15.13</v>
      </c>
      <c r="N57" s="28"/>
      <c r="O57" s="25"/>
      <c r="P57" s="25"/>
      <c r="Q57" s="3">
        <v>9</v>
      </c>
      <c r="R57" s="3">
        <v>7.25</v>
      </c>
      <c r="S57" s="30"/>
      <c r="V57">
        <v>-5.1753939393939392</v>
      </c>
      <c r="AB57" s="28"/>
      <c r="AC57" s="25"/>
      <c r="AD57" s="25"/>
      <c r="AE57" s="4">
        <v>6</v>
      </c>
      <c r="AF57" s="4">
        <v>13.11</v>
      </c>
      <c r="AG57" s="30"/>
    </row>
    <row r="58" spans="1:48" x14ac:dyDescent="0.25">
      <c r="A58" s="3" t="s">
        <v>385</v>
      </c>
      <c r="B58" s="28"/>
      <c r="C58" s="3">
        <v>7</v>
      </c>
      <c r="D58" s="25"/>
      <c r="E58" s="25"/>
      <c r="F58" s="3">
        <v>14.9</v>
      </c>
      <c r="N58" s="29"/>
      <c r="O58" s="26"/>
      <c r="P58" s="26"/>
      <c r="Q58" s="4">
        <v>10</v>
      </c>
      <c r="R58" s="4">
        <v>5.0599999999999996</v>
      </c>
      <c r="S58" s="30"/>
      <c r="AB58" s="28"/>
      <c r="AC58" s="25"/>
      <c r="AD58" s="25"/>
      <c r="AE58" s="3">
        <v>7</v>
      </c>
      <c r="AF58" s="3">
        <v>11.05</v>
      </c>
      <c r="AG58" s="30"/>
    </row>
    <row r="59" spans="1:48" x14ac:dyDescent="0.25">
      <c r="A59" s="4" t="s">
        <v>385</v>
      </c>
      <c r="B59" s="28"/>
      <c r="C59" s="4">
        <v>8</v>
      </c>
      <c r="D59" s="25"/>
      <c r="E59" s="25"/>
      <c r="F59" s="4">
        <v>11.1</v>
      </c>
      <c r="N59" s="27" t="s">
        <v>385</v>
      </c>
      <c r="O59" s="24">
        <v>403.93</v>
      </c>
      <c r="P59" s="24">
        <v>7975.67</v>
      </c>
      <c r="Q59" s="3">
        <v>1</v>
      </c>
      <c r="R59" s="3">
        <v>103.11</v>
      </c>
      <c r="S59" s="30">
        <f t="shared" ref="S59" si="0">SLOPE(R59:R68,Q59:Q68)</f>
        <v>-5.1753939393939392</v>
      </c>
      <c r="AB59" s="28"/>
      <c r="AC59" s="25"/>
      <c r="AD59" s="25"/>
      <c r="AE59" s="4">
        <v>8</v>
      </c>
      <c r="AF59" s="4">
        <v>11.62</v>
      </c>
      <c r="AG59" s="30"/>
    </row>
    <row r="60" spans="1:48" x14ac:dyDescent="0.25">
      <c r="A60" s="3" t="s">
        <v>385</v>
      </c>
      <c r="B60" s="28"/>
      <c r="C60" s="3">
        <v>9</v>
      </c>
      <c r="D60" s="25"/>
      <c r="E60" s="25"/>
      <c r="F60" s="3">
        <v>14.66</v>
      </c>
      <c r="N60" s="28"/>
      <c r="O60" s="25"/>
      <c r="P60" s="25"/>
      <c r="Q60" s="4">
        <v>2</v>
      </c>
      <c r="R60" s="4">
        <v>18.670000000000002</v>
      </c>
      <c r="S60" s="30"/>
      <c r="AB60" s="28"/>
      <c r="AC60" s="25"/>
      <c r="AD60" s="25"/>
      <c r="AE60" s="3">
        <v>9</v>
      </c>
      <c r="AF60" s="3">
        <v>11.11</v>
      </c>
      <c r="AG60" s="30"/>
    </row>
    <row r="61" spans="1:48" x14ac:dyDescent="0.25">
      <c r="A61" s="4" t="s">
        <v>385</v>
      </c>
      <c r="B61" s="29"/>
      <c r="C61" s="4">
        <v>10</v>
      </c>
      <c r="D61" s="26"/>
      <c r="E61" s="26"/>
      <c r="F61" s="4">
        <v>16.59</v>
      </c>
      <c r="N61" s="28"/>
      <c r="O61" s="25"/>
      <c r="P61" s="25"/>
      <c r="Q61" s="3">
        <v>3</v>
      </c>
      <c r="R61" s="3">
        <v>12.13</v>
      </c>
      <c r="S61" s="30"/>
      <c r="AB61" s="29"/>
      <c r="AC61" s="26"/>
      <c r="AD61" s="26"/>
      <c r="AE61" s="4">
        <v>10</v>
      </c>
      <c r="AF61" s="4">
        <v>10.130000000000001</v>
      </c>
      <c r="AG61" s="30"/>
    </row>
    <row r="62" spans="1:48" x14ac:dyDescent="0.25">
      <c r="A62" s="3" t="s">
        <v>385</v>
      </c>
      <c r="B62" s="27" t="s">
        <v>392</v>
      </c>
      <c r="C62" s="3">
        <v>1</v>
      </c>
      <c r="D62" s="24">
        <v>198.49</v>
      </c>
      <c r="E62" s="24">
        <v>3105.3</v>
      </c>
      <c r="F62" s="3">
        <v>66.12</v>
      </c>
      <c r="N62" s="28"/>
      <c r="O62" s="25"/>
      <c r="P62" s="25"/>
      <c r="Q62" s="4">
        <v>4</v>
      </c>
      <c r="R62" s="4">
        <v>11.74</v>
      </c>
      <c r="S62" s="30"/>
      <c r="AB62" s="27" t="s">
        <v>385</v>
      </c>
      <c r="AC62" s="24">
        <v>359.17</v>
      </c>
      <c r="AD62" s="24">
        <v>6498.16</v>
      </c>
      <c r="AE62" s="3">
        <v>1</v>
      </c>
      <c r="AF62" s="3">
        <v>387.37</v>
      </c>
      <c r="AG62" s="30">
        <f t="shared" ref="AG62" si="1">SLOPE(AF62:AF71,AE62:AE71)</f>
        <v>-20.209515151515149</v>
      </c>
    </row>
    <row r="63" spans="1:48" x14ac:dyDescent="0.25">
      <c r="A63" s="4" t="s">
        <v>385</v>
      </c>
      <c r="B63" s="28"/>
      <c r="C63" s="4">
        <v>2</v>
      </c>
      <c r="D63" s="25"/>
      <c r="E63" s="25"/>
      <c r="F63" s="4">
        <v>7.75</v>
      </c>
      <c r="N63" s="28"/>
      <c r="O63" s="25"/>
      <c r="P63" s="25"/>
      <c r="Q63" s="3">
        <v>5</v>
      </c>
      <c r="R63" s="3">
        <v>12.47</v>
      </c>
      <c r="S63" s="30"/>
      <c r="AB63" s="28"/>
      <c r="AC63" s="25"/>
      <c r="AD63" s="25"/>
      <c r="AE63" s="4">
        <v>2</v>
      </c>
      <c r="AF63" s="4">
        <v>13.11</v>
      </c>
      <c r="AG63" s="30"/>
      <c r="AL63" t="s">
        <v>413</v>
      </c>
    </row>
    <row r="64" spans="1:48" x14ac:dyDescent="0.25">
      <c r="A64" s="3" t="s">
        <v>385</v>
      </c>
      <c r="B64" s="28"/>
      <c r="C64" s="3">
        <v>3</v>
      </c>
      <c r="D64" s="25"/>
      <c r="E64" s="25"/>
      <c r="F64" s="3">
        <v>6.07</v>
      </c>
      <c r="N64" s="28"/>
      <c r="O64" s="25"/>
      <c r="P64" s="25"/>
      <c r="Q64" s="4">
        <v>6</v>
      </c>
      <c r="R64" s="4">
        <v>12.4</v>
      </c>
      <c r="S64" s="30"/>
      <c r="AB64" s="28"/>
      <c r="AC64" s="25"/>
      <c r="AD64" s="25"/>
      <c r="AE64" s="3">
        <v>3</v>
      </c>
      <c r="AF64" s="3">
        <v>12.77</v>
      </c>
      <c r="AG64" s="30"/>
    </row>
    <row r="65" spans="1:42" x14ac:dyDescent="0.25">
      <c r="A65" s="4" t="s">
        <v>385</v>
      </c>
      <c r="B65" s="28"/>
      <c r="C65" s="4">
        <v>4</v>
      </c>
      <c r="D65" s="25"/>
      <c r="E65" s="25"/>
      <c r="F65" s="4">
        <v>7.22</v>
      </c>
      <c r="N65" s="28"/>
      <c r="O65" s="25"/>
      <c r="P65" s="25"/>
      <c r="Q65" s="3">
        <v>7</v>
      </c>
      <c r="R65" s="3">
        <v>13.52</v>
      </c>
      <c r="S65" s="30"/>
      <c r="AB65" s="28"/>
      <c r="AC65" s="25"/>
      <c r="AD65" s="25"/>
      <c r="AE65" s="4">
        <v>4</v>
      </c>
      <c r="AF65" s="4">
        <v>15.16</v>
      </c>
      <c r="AG65" s="30"/>
      <c r="AL65" s="2" t="s">
        <v>1</v>
      </c>
      <c r="AM65" s="2" t="s">
        <v>2</v>
      </c>
      <c r="AN65" s="2" t="s">
        <v>412</v>
      </c>
    </row>
    <row r="66" spans="1:42" x14ac:dyDescent="0.25">
      <c r="A66" s="3" t="s">
        <v>385</v>
      </c>
      <c r="B66" s="28"/>
      <c r="C66" s="3">
        <v>5</v>
      </c>
      <c r="D66" s="25"/>
      <c r="E66" s="25"/>
      <c r="F66" s="3">
        <v>9.3699999999999992</v>
      </c>
      <c r="N66" s="28"/>
      <c r="O66" s="25"/>
      <c r="P66" s="25"/>
      <c r="Q66" s="4">
        <v>8</v>
      </c>
      <c r="R66" s="4">
        <v>12.72</v>
      </c>
      <c r="S66" s="30"/>
      <c r="AB66" s="28"/>
      <c r="AC66" s="25"/>
      <c r="AD66" s="25"/>
      <c r="AE66" s="3">
        <v>5</v>
      </c>
      <c r="AF66" s="3">
        <v>14.4</v>
      </c>
      <c r="AG66" s="30"/>
      <c r="AL66" s="3" t="s">
        <v>384</v>
      </c>
      <c r="AM66" s="4" t="s">
        <v>389</v>
      </c>
      <c r="AN66">
        <v>-5.6053333333333324</v>
      </c>
    </row>
    <row r="67" spans="1:42" x14ac:dyDescent="0.25">
      <c r="A67" s="4" t="s">
        <v>385</v>
      </c>
      <c r="B67" s="28"/>
      <c r="C67" s="4">
        <v>6</v>
      </c>
      <c r="D67" s="25"/>
      <c r="E67" s="25"/>
      <c r="F67" s="4">
        <v>3.6</v>
      </c>
      <c r="N67" s="28"/>
      <c r="O67" s="25"/>
      <c r="P67" s="25"/>
      <c r="Q67" s="3">
        <v>9</v>
      </c>
      <c r="R67" s="3">
        <v>11.36</v>
      </c>
      <c r="S67" s="30"/>
      <c r="AB67" s="28"/>
      <c r="AC67" s="25"/>
      <c r="AD67" s="25"/>
      <c r="AE67" s="4">
        <v>6</v>
      </c>
      <c r="AF67" s="4">
        <v>15.13</v>
      </c>
      <c r="AG67" s="30"/>
      <c r="AL67" s="3" t="s">
        <v>384</v>
      </c>
      <c r="AM67" s="3" t="s">
        <v>390</v>
      </c>
      <c r="AN67">
        <v>-115.71727272727274</v>
      </c>
      <c r="AP67">
        <v>-115.71727272727274</v>
      </c>
    </row>
    <row r="68" spans="1:42" x14ac:dyDescent="0.25">
      <c r="A68" s="3" t="s">
        <v>385</v>
      </c>
      <c r="B68" s="28"/>
      <c r="C68" s="3">
        <v>7</v>
      </c>
      <c r="D68" s="25"/>
      <c r="E68" s="25"/>
      <c r="F68" s="3">
        <v>7.45</v>
      </c>
      <c r="N68" s="29"/>
      <c r="O68" s="26"/>
      <c r="P68" s="26"/>
      <c r="Q68" s="4">
        <v>10</v>
      </c>
      <c r="R68" s="4">
        <v>13</v>
      </c>
      <c r="S68" s="30"/>
      <c r="AB68" s="28"/>
      <c r="AC68" s="25"/>
      <c r="AD68" s="25"/>
      <c r="AE68" s="3">
        <v>7</v>
      </c>
      <c r="AF68" s="3">
        <v>14.9</v>
      </c>
      <c r="AG68" s="30"/>
      <c r="AL68" s="3" t="s">
        <v>384</v>
      </c>
      <c r="AM68" s="3" t="s">
        <v>391</v>
      </c>
      <c r="AN68">
        <v>-21.459818181818182</v>
      </c>
    </row>
    <row r="69" spans="1:42" x14ac:dyDescent="0.25">
      <c r="A69" s="4" t="s">
        <v>385</v>
      </c>
      <c r="B69" s="28"/>
      <c r="C69" s="4">
        <v>8</v>
      </c>
      <c r="D69" s="25"/>
      <c r="E69" s="25"/>
      <c r="F69" s="4">
        <v>3.4</v>
      </c>
      <c r="N69" s="27" t="s">
        <v>409</v>
      </c>
      <c r="O69" s="24">
        <v>173.93</v>
      </c>
      <c r="P69" s="24">
        <v>199.62</v>
      </c>
      <c r="Q69" s="3">
        <v>1</v>
      </c>
      <c r="R69" s="3">
        <v>39.64</v>
      </c>
      <c r="S69" s="30">
        <f t="shared" ref="S69" si="2">SLOPE(R69:R78,Q69:Q78)</f>
        <v>-1.3599393939393938</v>
      </c>
      <c r="AB69" s="28"/>
      <c r="AC69" s="25"/>
      <c r="AD69" s="25"/>
      <c r="AE69" s="4">
        <v>8</v>
      </c>
      <c r="AF69" s="4">
        <v>11.1</v>
      </c>
      <c r="AG69" s="30"/>
      <c r="AL69" s="4" t="s">
        <v>385</v>
      </c>
      <c r="AM69" s="4" t="s">
        <v>389</v>
      </c>
      <c r="AN69">
        <v>-5.1753939393939392</v>
      </c>
    </row>
    <row r="70" spans="1:42" x14ac:dyDescent="0.25">
      <c r="A70" s="3" t="s">
        <v>385</v>
      </c>
      <c r="B70" s="28"/>
      <c r="C70" s="3">
        <v>9</v>
      </c>
      <c r="D70" s="25"/>
      <c r="E70" s="25"/>
      <c r="F70" s="3">
        <v>3.27</v>
      </c>
      <c r="N70" s="28"/>
      <c r="O70" s="25"/>
      <c r="P70" s="25"/>
      <c r="Q70" s="4">
        <v>2</v>
      </c>
      <c r="R70" s="4">
        <v>14.37</v>
      </c>
      <c r="S70" s="30"/>
      <c r="AB70" s="28"/>
      <c r="AC70" s="25"/>
      <c r="AD70" s="25"/>
      <c r="AE70" s="3">
        <v>9</v>
      </c>
      <c r="AF70" s="3">
        <v>14.66</v>
      </c>
      <c r="AG70" s="30"/>
      <c r="AL70" s="4" t="s">
        <v>385</v>
      </c>
      <c r="AM70" s="3" t="s">
        <v>390</v>
      </c>
      <c r="AN70">
        <v>-59.151636363636356</v>
      </c>
    </row>
    <row r="71" spans="1:42" x14ac:dyDescent="0.25">
      <c r="A71" s="4" t="s">
        <v>385</v>
      </c>
      <c r="B71" s="29"/>
      <c r="C71" s="4">
        <v>10</v>
      </c>
      <c r="D71" s="26"/>
      <c r="E71" s="26"/>
      <c r="F71" s="4">
        <v>3.26</v>
      </c>
      <c r="N71" s="28"/>
      <c r="O71" s="25"/>
      <c r="P71" s="25"/>
      <c r="Q71" s="3">
        <v>3</v>
      </c>
      <c r="R71" s="3">
        <v>14.09</v>
      </c>
      <c r="S71" s="30"/>
      <c r="AB71" s="29"/>
      <c r="AC71" s="26"/>
      <c r="AD71" s="26"/>
      <c r="AE71" s="4">
        <v>10</v>
      </c>
      <c r="AF71" s="4">
        <v>16.59</v>
      </c>
      <c r="AG71" s="30"/>
      <c r="AL71" s="4" t="s">
        <v>385</v>
      </c>
      <c r="AM71" s="3" t="s">
        <v>391</v>
      </c>
      <c r="AN71">
        <v>-20.209515151515149</v>
      </c>
      <c r="AP71">
        <v>-59.151636363636356</v>
      </c>
    </row>
    <row r="72" spans="1:42" x14ac:dyDescent="0.25">
      <c r="A72" s="3" t="s">
        <v>409</v>
      </c>
      <c r="B72" s="27" t="s">
        <v>389</v>
      </c>
      <c r="C72" s="3">
        <v>1</v>
      </c>
      <c r="D72" s="24">
        <v>173.93</v>
      </c>
      <c r="E72" s="24">
        <v>199.62</v>
      </c>
      <c r="F72" s="3">
        <v>39.64</v>
      </c>
      <c r="N72" s="28"/>
      <c r="O72" s="25"/>
      <c r="P72" s="25"/>
      <c r="Q72" s="4">
        <v>4</v>
      </c>
      <c r="R72" s="4">
        <v>14</v>
      </c>
      <c r="S72" s="30"/>
      <c r="AB72" s="27" t="s">
        <v>409</v>
      </c>
      <c r="AC72" s="24">
        <v>180.03</v>
      </c>
      <c r="AD72" s="24">
        <v>484.98</v>
      </c>
      <c r="AE72" s="3">
        <v>1</v>
      </c>
      <c r="AF72" s="3">
        <v>642.39</v>
      </c>
      <c r="AG72" s="30">
        <f t="shared" ref="AG72" si="3">SLOPE(AF72:AF81,AE72:AE81)</f>
        <v>-35.048848484848484</v>
      </c>
      <c r="AL72" s="4" t="s">
        <v>385</v>
      </c>
      <c r="AM72" s="3" t="s">
        <v>392</v>
      </c>
      <c r="AN72">
        <v>-3.7304848484848483</v>
      </c>
    </row>
    <row r="73" spans="1:42" x14ac:dyDescent="0.25">
      <c r="A73" s="4" t="s">
        <v>409</v>
      </c>
      <c r="B73" s="28"/>
      <c r="C73" s="4">
        <v>2</v>
      </c>
      <c r="D73" s="25"/>
      <c r="E73" s="25"/>
      <c r="F73" s="4">
        <v>14.37</v>
      </c>
      <c r="N73" s="28"/>
      <c r="O73" s="25"/>
      <c r="P73" s="25"/>
      <c r="Q73" s="3">
        <v>5</v>
      </c>
      <c r="R73" s="3">
        <v>14.31</v>
      </c>
      <c r="S73" s="30"/>
      <c r="V73">
        <v>-1.3599393939393938</v>
      </c>
      <c r="AB73" s="28"/>
      <c r="AC73" s="25"/>
      <c r="AD73" s="25"/>
      <c r="AE73" s="4">
        <v>2</v>
      </c>
      <c r="AF73" s="4">
        <v>7.05</v>
      </c>
      <c r="AG73" s="30"/>
      <c r="AL73" s="4" t="s">
        <v>386</v>
      </c>
      <c r="AM73" s="4" t="s">
        <v>389</v>
      </c>
      <c r="AN73">
        <v>-1.3599393939393938</v>
      </c>
    </row>
    <row r="74" spans="1:42" x14ac:dyDescent="0.25">
      <c r="A74" s="3" t="s">
        <v>409</v>
      </c>
      <c r="B74" s="28"/>
      <c r="C74" s="3">
        <v>3</v>
      </c>
      <c r="D74" s="25"/>
      <c r="E74" s="25"/>
      <c r="F74" s="3">
        <v>14.09</v>
      </c>
      <c r="N74" s="28"/>
      <c r="O74" s="25"/>
      <c r="P74" s="25"/>
      <c r="Q74" s="4">
        <v>6</v>
      </c>
      <c r="R74" s="4">
        <v>14.53</v>
      </c>
      <c r="S74" s="30"/>
      <c r="AB74" s="28"/>
      <c r="AC74" s="25"/>
      <c r="AD74" s="25"/>
      <c r="AE74" s="3">
        <v>3</v>
      </c>
      <c r="AF74" s="3">
        <v>6.59</v>
      </c>
      <c r="AG74" s="30"/>
      <c r="AL74" s="4" t="s">
        <v>386</v>
      </c>
      <c r="AM74" s="3" t="s">
        <v>391</v>
      </c>
      <c r="AN74">
        <v>-35.048848484848484</v>
      </c>
    </row>
    <row r="75" spans="1:42" x14ac:dyDescent="0.25">
      <c r="A75" s="4" t="s">
        <v>409</v>
      </c>
      <c r="B75" s="28"/>
      <c r="C75" s="4">
        <v>4</v>
      </c>
      <c r="D75" s="25"/>
      <c r="E75" s="25"/>
      <c r="F75" s="4">
        <v>14</v>
      </c>
      <c r="N75" s="28"/>
      <c r="O75" s="25"/>
      <c r="P75" s="25"/>
      <c r="Q75" s="3">
        <v>7</v>
      </c>
      <c r="R75" s="3">
        <v>15.5</v>
      </c>
      <c r="S75" s="30"/>
      <c r="AB75" s="28"/>
      <c r="AC75" s="25"/>
      <c r="AD75" s="25"/>
      <c r="AE75" s="4">
        <v>4</v>
      </c>
      <c r="AF75" s="4">
        <v>4.51</v>
      </c>
      <c r="AG75" s="30"/>
      <c r="AL75" s="3" t="s">
        <v>387</v>
      </c>
      <c r="AM75" s="4" t="s">
        <v>389</v>
      </c>
      <c r="AN75">
        <v>-26.23769696969697</v>
      </c>
    </row>
    <row r="76" spans="1:42" x14ac:dyDescent="0.25">
      <c r="A76" s="3" t="s">
        <v>409</v>
      </c>
      <c r="B76" s="28"/>
      <c r="C76" s="3">
        <v>5</v>
      </c>
      <c r="D76" s="25"/>
      <c r="E76" s="25"/>
      <c r="F76" s="3">
        <v>14.31</v>
      </c>
      <c r="N76" s="28"/>
      <c r="O76" s="25"/>
      <c r="P76" s="25"/>
      <c r="Q76" s="4">
        <v>8</v>
      </c>
      <c r="R76" s="4">
        <v>14.11</v>
      </c>
      <c r="S76" s="30"/>
      <c r="AB76" s="28"/>
      <c r="AC76" s="25"/>
      <c r="AD76" s="25"/>
      <c r="AE76" s="3">
        <v>5</v>
      </c>
      <c r="AF76" s="3">
        <v>6.41</v>
      </c>
      <c r="AG76" s="30"/>
      <c r="AL76" s="3" t="s">
        <v>387</v>
      </c>
      <c r="AM76" s="3" t="s">
        <v>391</v>
      </c>
      <c r="AN76">
        <v>-29.306363636363642</v>
      </c>
    </row>
    <row r="77" spans="1:42" x14ac:dyDescent="0.25">
      <c r="A77" s="4" t="s">
        <v>409</v>
      </c>
      <c r="B77" s="28"/>
      <c r="C77" s="4">
        <v>6</v>
      </c>
      <c r="D77" s="25"/>
      <c r="E77" s="25"/>
      <c r="F77" s="4">
        <v>14.53</v>
      </c>
      <c r="N77" s="28"/>
      <c r="O77" s="25"/>
      <c r="P77" s="25"/>
      <c r="Q77" s="3">
        <v>9</v>
      </c>
      <c r="R77" s="3">
        <v>14.09</v>
      </c>
      <c r="S77" s="30"/>
      <c r="AB77" s="28"/>
      <c r="AC77" s="25"/>
      <c r="AD77" s="25"/>
      <c r="AE77" s="4">
        <v>6</v>
      </c>
      <c r="AF77" s="4">
        <v>4.79</v>
      </c>
      <c r="AG77" s="30"/>
      <c r="AL77" s="3" t="s">
        <v>387</v>
      </c>
      <c r="AM77" s="3" t="s">
        <v>392</v>
      </c>
      <c r="AN77">
        <v>-23.200606060606063</v>
      </c>
    </row>
    <row r="78" spans="1:42" x14ac:dyDescent="0.25">
      <c r="A78" s="3" t="s">
        <v>409</v>
      </c>
      <c r="B78" s="28"/>
      <c r="C78" s="3">
        <v>7</v>
      </c>
      <c r="D78" s="25"/>
      <c r="E78" s="25"/>
      <c r="F78" s="3">
        <v>15.5</v>
      </c>
      <c r="N78" s="29"/>
      <c r="O78" s="26"/>
      <c r="P78" s="26"/>
      <c r="Q78" s="4">
        <v>10</v>
      </c>
      <c r="R78" s="4">
        <v>14.39</v>
      </c>
      <c r="S78" s="30"/>
      <c r="AB78" s="28"/>
      <c r="AC78" s="25"/>
      <c r="AD78" s="25"/>
      <c r="AE78" s="3">
        <v>7</v>
      </c>
      <c r="AF78" s="3">
        <v>3.48</v>
      </c>
      <c r="AG78" s="30"/>
      <c r="AL78" s="3" t="s">
        <v>388</v>
      </c>
      <c r="AM78" s="20" t="s">
        <v>393</v>
      </c>
      <c r="AN78">
        <v>-4.9030303030303028E-2</v>
      </c>
    </row>
    <row r="79" spans="1:42" x14ac:dyDescent="0.25">
      <c r="A79" s="4" t="s">
        <v>409</v>
      </c>
      <c r="B79" s="28"/>
      <c r="C79" s="4">
        <v>8</v>
      </c>
      <c r="D79" s="25"/>
      <c r="E79" s="25"/>
      <c r="F79" s="4">
        <v>14.11</v>
      </c>
      <c r="N79" s="27" t="s">
        <v>408</v>
      </c>
      <c r="O79" s="24">
        <v>8.52</v>
      </c>
      <c r="P79" s="24">
        <v>40.799999999999997</v>
      </c>
      <c r="Q79" s="3">
        <v>1</v>
      </c>
      <c r="R79" s="3">
        <v>571.78</v>
      </c>
      <c r="S79" s="30">
        <f t="shared" ref="S79" si="4">SLOPE(R79:R88,Q79:Q88)</f>
        <v>-26.23769696969697</v>
      </c>
      <c r="AB79" s="28"/>
      <c r="AC79" s="25"/>
      <c r="AD79" s="25"/>
      <c r="AE79" s="4">
        <v>8</v>
      </c>
      <c r="AF79" s="4">
        <v>5.55</v>
      </c>
      <c r="AG79" s="30"/>
      <c r="AL79" s="3" t="s">
        <v>388</v>
      </c>
      <c r="AM79" s="20" t="s">
        <v>394</v>
      </c>
      <c r="AN79">
        <v>-0.24151515151515149</v>
      </c>
    </row>
    <row r="80" spans="1:42" x14ac:dyDescent="0.25">
      <c r="A80" s="3" t="s">
        <v>409</v>
      </c>
      <c r="B80" s="28"/>
      <c r="C80" s="3">
        <v>9</v>
      </c>
      <c r="D80" s="25"/>
      <c r="E80" s="25"/>
      <c r="F80" s="3">
        <v>14.09</v>
      </c>
      <c r="N80" s="28"/>
      <c r="O80" s="25"/>
      <c r="P80" s="25"/>
      <c r="Q80" s="4">
        <v>2</v>
      </c>
      <c r="R80" s="4">
        <v>58.71</v>
      </c>
      <c r="S80" s="30"/>
      <c r="AB80" s="28"/>
      <c r="AC80" s="25"/>
      <c r="AD80" s="25"/>
      <c r="AE80" s="3">
        <v>9</v>
      </c>
      <c r="AF80" s="3">
        <v>3.95</v>
      </c>
      <c r="AG80" s="30"/>
    </row>
    <row r="81" spans="1:40" x14ac:dyDescent="0.25">
      <c r="A81" s="4" t="s">
        <v>409</v>
      </c>
      <c r="B81" s="29"/>
      <c r="C81" s="4">
        <v>10</v>
      </c>
      <c r="D81" s="26"/>
      <c r="E81" s="26"/>
      <c r="F81" s="4">
        <v>14.39</v>
      </c>
      <c r="N81" s="28"/>
      <c r="O81" s="25"/>
      <c r="P81" s="25"/>
      <c r="Q81" s="3">
        <v>3</v>
      </c>
      <c r="R81" s="3">
        <v>58.23</v>
      </c>
      <c r="S81" s="30"/>
      <c r="AB81" s="29"/>
      <c r="AC81" s="26"/>
      <c r="AD81" s="26"/>
      <c r="AE81" s="4">
        <v>10</v>
      </c>
      <c r="AF81" s="4">
        <v>3.34</v>
      </c>
      <c r="AG81" s="30"/>
    </row>
    <row r="82" spans="1:40" x14ac:dyDescent="0.25">
      <c r="A82" s="3" t="s">
        <v>409</v>
      </c>
      <c r="B82" s="27" t="s">
        <v>391</v>
      </c>
      <c r="C82" s="3">
        <v>1</v>
      </c>
      <c r="D82" s="24">
        <v>180.03</v>
      </c>
      <c r="E82" s="24">
        <v>484.98</v>
      </c>
      <c r="F82" s="3">
        <v>642.39</v>
      </c>
      <c r="N82" s="28"/>
      <c r="O82" s="25"/>
      <c r="P82" s="25"/>
      <c r="Q82" s="4">
        <v>4</v>
      </c>
      <c r="R82" s="4">
        <v>58.7</v>
      </c>
      <c r="S82" s="30"/>
      <c r="AB82" s="27" t="s">
        <v>408</v>
      </c>
      <c r="AC82" s="24">
        <v>7.79</v>
      </c>
      <c r="AD82" s="24">
        <v>369.07</v>
      </c>
      <c r="AE82" s="3">
        <v>1</v>
      </c>
      <c r="AF82" s="3">
        <v>615.20000000000005</v>
      </c>
      <c r="AG82" s="30">
        <f t="shared" ref="AG82" si="5">SLOPE(AF82:AF91,AE82:AE91)</f>
        <v>-29.306363636363642</v>
      </c>
    </row>
    <row r="83" spans="1:40" x14ac:dyDescent="0.25">
      <c r="A83" s="4" t="s">
        <v>409</v>
      </c>
      <c r="B83" s="28"/>
      <c r="C83" s="4">
        <v>2</v>
      </c>
      <c r="D83" s="25"/>
      <c r="E83" s="25"/>
      <c r="F83" s="4">
        <v>7.05</v>
      </c>
      <c r="N83" s="28"/>
      <c r="O83" s="25"/>
      <c r="P83" s="25"/>
      <c r="Q83" s="3">
        <v>5</v>
      </c>
      <c r="R83" s="3">
        <v>59.58</v>
      </c>
      <c r="S83" s="30"/>
      <c r="V83">
        <v>-26.23769696969697</v>
      </c>
      <c r="AB83" s="28"/>
      <c r="AC83" s="25"/>
      <c r="AD83" s="25"/>
      <c r="AE83" s="4">
        <v>2</v>
      </c>
      <c r="AF83" s="4">
        <v>51.31</v>
      </c>
      <c r="AG83" s="30"/>
    </row>
    <row r="84" spans="1:40" x14ac:dyDescent="0.25">
      <c r="A84" s="3" t="s">
        <v>409</v>
      </c>
      <c r="B84" s="28"/>
      <c r="C84" s="3">
        <v>3</v>
      </c>
      <c r="D84" s="25"/>
      <c r="E84" s="25"/>
      <c r="F84" s="3">
        <v>6.59</v>
      </c>
      <c r="N84" s="28"/>
      <c r="O84" s="25"/>
      <c r="P84" s="25"/>
      <c r="Q84" s="4">
        <v>6</v>
      </c>
      <c r="R84" s="4">
        <v>243.13</v>
      </c>
      <c r="S84" s="30"/>
      <c r="AB84" s="28"/>
      <c r="AC84" s="25"/>
      <c r="AD84" s="25"/>
      <c r="AE84" s="3">
        <v>3</v>
      </c>
      <c r="AF84" s="3">
        <v>46.46</v>
      </c>
      <c r="AG84" s="30"/>
    </row>
    <row r="85" spans="1:40" x14ac:dyDescent="0.25">
      <c r="A85" s="4" t="s">
        <v>409</v>
      </c>
      <c r="B85" s="28"/>
      <c r="C85" s="4">
        <v>4</v>
      </c>
      <c r="D85" s="25"/>
      <c r="E85" s="25"/>
      <c r="F85" s="4">
        <v>4.51</v>
      </c>
      <c r="N85" s="28"/>
      <c r="O85" s="25"/>
      <c r="P85" s="25"/>
      <c r="Q85" s="3">
        <v>7</v>
      </c>
      <c r="R85" s="3">
        <v>63.5</v>
      </c>
      <c r="S85" s="30"/>
      <c r="AB85" s="28"/>
      <c r="AC85" s="25"/>
      <c r="AD85" s="25"/>
      <c r="AE85" s="4">
        <v>4</v>
      </c>
      <c r="AF85" s="4">
        <v>46.51</v>
      </c>
      <c r="AG85" s="30"/>
      <c r="AL85" s="21" t="s">
        <v>1</v>
      </c>
      <c r="AM85" s="21" t="s">
        <v>2</v>
      </c>
      <c r="AN85" s="21" t="s">
        <v>412</v>
      </c>
    </row>
    <row r="86" spans="1:40" x14ac:dyDescent="0.25">
      <c r="A86" s="3" t="s">
        <v>409</v>
      </c>
      <c r="B86" s="28"/>
      <c r="C86" s="3">
        <v>5</v>
      </c>
      <c r="D86" s="25"/>
      <c r="E86" s="25"/>
      <c r="F86" s="3">
        <v>6.41</v>
      </c>
      <c r="N86" s="28"/>
      <c r="O86" s="25"/>
      <c r="P86" s="25"/>
      <c r="Q86" s="4">
        <v>8</v>
      </c>
      <c r="R86" s="4">
        <v>70.39</v>
      </c>
      <c r="S86" s="30"/>
      <c r="AB86" s="28"/>
      <c r="AC86" s="25"/>
      <c r="AD86" s="25"/>
      <c r="AE86" s="3">
        <v>5</v>
      </c>
      <c r="AF86" s="3">
        <v>54.38</v>
      </c>
      <c r="AG86" s="30"/>
      <c r="AL86" s="3" t="s">
        <v>388</v>
      </c>
      <c r="AM86" s="3" t="s">
        <v>393</v>
      </c>
      <c r="AN86" s="22">
        <v>-4.9030303030303028E-2</v>
      </c>
    </row>
    <row r="87" spans="1:40" x14ac:dyDescent="0.25">
      <c r="A87" s="4" t="s">
        <v>409</v>
      </c>
      <c r="B87" s="28"/>
      <c r="C87" s="4">
        <v>6</v>
      </c>
      <c r="D87" s="25"/>
      <c r="E87" s="25"/>
      <c r="F87" s="4">
        <v>4.79</v>
      </c>
      <c r="N87" s="28"/>
      <c r="O87" s="25"/>
      <c r="P87" s="25"/>
      <c r="Q87" s="3">
        <v>9</v>
      </c>
      <c r="R87" s="3">
        <v>57.83</v>
      </c>
      <c r="S87" s="30"/>
      <c r="AB87" s="28"/>
      <c r="AC87" s="25"/>
      <c r="AD87" s="25"/>
      <c r="AE87" s="4">
        <v>6</v>
      </c>
      <c r="AF87" s="4">
        <v>52.49</v>
      </c>
      <c r="AG87" s="30"/>
      <c r="AL87" s="3" t="s">
        <v>388</v>
      </c>
      <c r="AM87" s="3" t="s">
        <v>394</v>
      </c>
      <c r="AN87" s="22">
        <v>-0.24151515151515149</v>
      </c>
    </row>
    <row r="88" spans="1:40" x14ac:dyDescent="0.25">
      <c r="A88" s="3" t="s">
        <v>409</v>
      </c>
      <c r="B88" s="28"/>
      <c r="C88" s="3">
        <v>7</v>
      </c>
      <c r="D88" s="25"/>
      <c r="E88" s="25"/>
      <c r="F88" s="3">
        <v>3.48</v>
      </c>
      <c r="N88" s="29"/>
      <c r="O88" s="26"/>
      <c r="P88" s="26"/>
      <c r="Q88" s="4">
        <v>10</v>
      </c>
      <c r="R88" s="4">
        <v>62.69</v>
      </c>
      <c r="S88" s="30"/>
      <c r="AB88" s="28"/>
      <c r="AC88" s="25"/>
      <c r="AD88" s="25"/>
      <c r="AE88" s="3">
        <v>7</v>
      </c>
      <c r="AF88" s="3">
        <v>49.8</v>
      </c>
      <c r="AG88" s="30"/>
      <c r="AL88" s="4" t="s">
        <v>386</v>
      </c>
      <c r="AM88" s="4" t="s">
        <v>389</v>
      </c>
      <c r="AN88" s="22">
        <v>-1.3599393939393938</v>
      </c>
    </row>
    <row r="89" spans="1:40" x14ac:dyDescent="0.25">
      <c r="A89" s="4" t="s">
        <v>409</v>
      </c>
      <c r="B89" s="28"/>
      <c r="C89" s="4">
        <v>8</v>
      </c>
      <c r="D89" s="25"/>
      <c r="E89" s="25"/>
      <c r="F89" s="4">
        <v>5.55</v>
      </c>
      <c r="AB89" s="28"/>
      <c r="AC89" s="25"/>
      <c r="AD89" s="25"/>
      <c r="AE89" s="4">
        <v>8</v>
      </c>
      <c r="AF89" s="4">
        <v>47.88</v>
      </c>
      <c r="AG89" s="30"/>
      <c r="AL89" s="4" t="s">
        <v>385</v>
      </c>
      <c r="AM89" s="3" t="s">
        <v>392</v>
      </c>
      <c r="AN89" s="22">
        <v>-3.7304848484848483</v>
      </c>
    </row>
    <row r="90" spans="1:40" x14ac:dyDescent="0.25">
      <c r="A90" s="3" t="s">
        <v>409</v>
      </c>
      <c r="B90" s="28"/>
      <c r="C90" s="3">
        <v>9</v>
      </c>
      <c r="D90" s="25"/>
      <c r="E90" s="25"/>
      <c r="F90" s="3">
        <v>3.95</v>
      </c>
      <c r="AB90" s="28"/>
      <c r="AC90" s="25"/>
      <c r="AD90" s="25"/>
      <c r="AE90" s="3">
        <v>9</v>
      </c>
      <c r="AF90" s="3">
        <v>61.79</v>
      </c>
      <c r="AG90" s="30"/>
      <c r="AL90" s="4" t="s">
        <v>385</v>
      </c>
      <c r="AM90" s="4" t="s">
        <v>389</v>
      </c>
      <c r="AN90" s="22">
        <v>-5.1753939393939392</v>
      </c>
    </row>
    <row r="91" spans="1:40" x14ac:dyDescent="0.25">
      <c r="A91" s="4" t="s">
        <v>409</v>
      </c>
      <c r="B91" s="29"/>
      <c r="C91" s="4">
        <v>10</v>
      </c>
      <c r="D91" s="26"/>
      <c r="E91" s="26"/>
      <c r="F91" s="4">
        <v>3.34</v>
      </c>
      <c r="AB91" s="29"/>
      <c r="AC91" s="26"/>
      <c r="AD91" s="26"/>
      <c r="AE91" s="4">
        <v>10</v>
      </c>
      <c r="AF91" s="4">
        <v>68.09</v>
      </c>
      <c r="AG91" s="30"/>
      <c r="AL91" s="3" t="s">
        <v>384</v>
      </c>
      <c r="AM91" s="4" t="s">
        <v>389</v>
      </c>
      <c r="AN91" s="22">
        <v>-5.6053333333333324</v>
      </c>
    </row>
    <row r="92" spans="1:40" x14ac:dyDescent="0.25">
      <c r="A92" s="3" t="s">
        <v>408</v>
      </c>
      <c r="B92" s="27" t="s">
        <v>389</v>
      </c>
      <c r="C92" s="3">
        <v>1</v>
      </c>
      <c r="D92" s="24">
        <v>8.52</v>
      </c>
      <c r="E92" s="24">
        <v>40.799999999999997</v>
      </c>
      <c r="F92" s="3">
        <v>571.78</v>
      </c>
      <c r="AL92" s="4" t="s">
        <v>385</v>
      </c>
      <c r="AM92" s="3" t="s">
        <v>391</v>
      </c>
      <c r="AN92" s="22">
        <v>-20.209515151515149</v>
      </c>
    </row>
    <row r="93" spans="1:40" x14ac:dyDescent="0.25">
      <c r="A93" s="4" t="s">
        <v>408</v>
      </c>
      <c r="B93" s="28"/>
      <c r="C93" s="4">
        <v>2</v>
      </c>
      <c r="D93" s="25"/>
      <c r="E93" s="25"/>
      <c r="F93" s="4">
        <v>58.71</v>
      </c>
      <c r="AL93" s="3" t="s">
        <v>384</v>
      </c>
      <c r="AM93" s="3" t="s">
        <v>391</v>
      </c>
      <c r="AN93" s="22">
        <v>-21.459818181818182</v>
      </c>
    </row>
    <row r="94" spans="1:40" x14ac:dyDescent="0.25">
      <c r="A94" s="3" t="s">
        <v>408</v>
      </c>
      <c r="B94" s="28"/>
      <c r="C94" s="3">
        <v>3</v>
      </c>
      <c r="D94" s="25"/>
      <c r="E94" s="25"/>
      <c r="F94" s="3">
        <v>58.23</v>
      </c>
      <c r="AL94" s="3" t="s">
        <v>387</v>
      </c>
      <c r="AM94" s="3" t="s">
        <v>392</v>
      </c>
      <c r="AN94" s="22">
        <v>-23.200606060606063</v>
      </c>
    </row>
    <row r="95" spans="1:40" x14ac:dyDescent="0.25">
      <c r="A95" s="4" t="s">
        <v>408</v>
      </c>
      <c r="B95" s="28"/>
      <c r="C95" s="4">
        <v>4</v>
      </c>
      <c r="D95" s="25"/>
      <c r="E95" s="25"/>
      <c r="F95" s="4">
        <v>58.7</v>
      </c>
      <c r="AL95" s="3" t="s">
        <v>387</v>
      </c>
      <c r="AM95" s="4" t="s">
        <v>389</v>
      </c>
      <c r="AN95" s="22">
        <v>-26.23769696969697</v>
      </c>
    </row>
    <row r="96" spans="1:40" x14ac:dyDescent="0.25">
      <c r="A96" s="3" t="s">
        <v>408</v>
      </c>
      <c r="B96" s="28"/>
      <c r="C96" s="3">
        <v>5</v>
      </c>
      <c r="D96" s="25"/>
      <c r="E96" s="25"/>
      <c r="F96" s="3">
        <v>59.58</v>
      </c>
      <c r="AL96" s="3" t="s">
        <v>387</v>
      </c>
      <c r="AM96" s="3" t="s">
        <v>391</v>
      </c>
      <c r="AN96" s="22">
        <v>-29.306363636363642</v>
      </c>
    </row>
    <row r="97" spans="1:40" x14ac:dyDescent="0.25">
      <c r="A97" s="4" t="s">
        <v>408</v>
      </c>
      <c r="B97" s="28"/>
      <c r="C97" s="4">
        <v>6</v>
      </c>
      <c r="D97" s="25"/>
      <c r="E97" s="25"/>
      <c r="F97" s="4">
        <v>243.13</v>
      </c>
      <c r="AL97" s="4" t="s">
        <v>386</v>
      </c>
      <c r="AM97" s="3" t="s">
        <v>391</v>
      </c>
      <c r="AN97" s="22">
        <v>-35.048848484848484</v>
      </c>
    </row>
    <row r="98" spans="1:40" x14ac:dyDescent="0.25">
      <c r="A98" s="3" t="s">
        <v>408</v>
      </c>
      <c r="B98" s="28"/>
      <c r="C98" s="3">
        <v>7</v>
      </c>
      <c r="D98" s="25"/>
      <c r="E98" s="25"/>
      <c r="F98" s="3">
        <v>63.5</v>
      </c>
      <c r="AL98" s="4" t="s">
        <v>385</v>
      </c>
      <c r="AM98" s="20" t="s">
        <v>390</v>
      </c>
      <c r="AN98" s="22">
        <v>-59.151636363636356</v>
      </c>
    </row>
    <row r="99" spans="1:40" x14ac:dyDescent="0.25">
      <c r="A99" s="4" t="s">
        <v>408</v>
      </c>
      <c r="B99" s="28"/>
      <c r="C99" s="4">
        <v>8</v>
      </c>
      <c r="D99" s="25"/>
      <c r="E99" s="25"/>
      <c r="F99" s="4">
        <v>70.39</v>
      </c>
      <c r="AL99" s="3" t="s">
        <v>384</v>
      </c>
      <c r="AM99" s="20" t="s">
        <v>390</v>
      </c>
      <c r="AN99" s="22">
        <v>-115.71727272727274</v>
      </c>
    </row>
    <row r="100" spans="1:40" x14ac:dyDescent="0.25">
      <c r="A100" s="3" t="s">
        <v>408</v>
      </c>
      <c r="B100" s="28"/>
      <c r="C100" s="3">
        <v>9</v>
      </c>
      <c r="D100" s="25"/>
      <c r="E100" s="25"/>
      <c r="F100" s="3">
        <v>57.83</v>
      </c>
    </row>
    <row r="101" spans="1:40" x14ac:dyDescent="0.25">
      <c r="A101" s="4" t="s">
        <v>408</v>
      </c>
      <c r="B101" s="29"/>
      <c r="C101" s="4">
        <v>10</v>
      </c>
      <c r="D101" s="26"/>
      <c r="E101" s="26"/>
      <c r="F101" s="4">
        <v>62.69</v>
      </c>
    </row>
    <row r="102" spans="1:40" x14ac:dyDescent="0.25">
      <c r="A102" s="3" t="s">
        <v>408</v>
      </c>
      <c r="B102" s="27" t="s">
        <v>391</v>
      </c>
      <c r="C102" s="3">
        <v>1</v>
      </c>
      <c r="D102" s="24">
        <v>7.79</v>
      </c>
      <c r="E102" s="24">
        <v>369.07</v>
      </c>
      <c r="F102" s="3">
        <v>615.20000000000005</v>
      </c>
    </row>
    <row r="103" spans="1:40" x14ac:dyDescent="0.25">
      <c r="A103" s="4" t="s">
        <v>408</v>
      </c>
      <c r="B103" s="28"/>
      <c r="C103" s="4">
        <v>2</v>
      </c>
      <c r="D103" s="25"/>
      <c r="E103" s="25"/>
      <c r="F103" s="4">
        <v>51.31</v>
      </c>
    </row>
    <row r="104" spans="1:40" x14ac:dyDescent="0.25">
      <c r="A104" s="3" t="s">
        <v>408</v>
      </c>
      <c r="B104" s="28"/>
      <c r="C104" s="3">
        <v>3</v>
      </c>
      <c r="D104" s="25"/>
      <c r="E104" s="25"/>
      <c r="F104" s="3">
        <v>46.46</v>
      </c>
    </row>
    <row r="105" spans="1:40" x14ac:dyDescent="0.25">
      <c r="A105" s="4" t="s">
        <v>408</v>
      </c>
      <c r="B105" s="28"/>
      <c r="C105" s="4">
        <v>4</v>
      </c>
      <c r="D105" s="25"/>
      <c r="E105" s="25"/>
      <c r="F105" s="4">
        <v>46.51</v>
      </c>
    </row>
    <row r="106" spans="1:40" x14ac:dyDescent="0.25">
      <c r="A106" s="3" t="s">
        <v>408</v>
      </c>
      <c r="B106" s="28"/>
      <c r="C106" s="3">
        <v>5</v>
      </c>
      <c r="D106" s="25"/>
      <c r="E106" s="25"/>
      <c r="F106" s="3">
        <v>54.38</v>
      </c>
    </row>
    <row r="107" spans="1:40" x14ac:dyDescent="0.25">
      <c r="A107" s="4" t="s">
        <v>408</v>
      </c>
      <c r="B107" s="28"/>
      <c r="C107" s="4">
        <v>6</v>
      </c>
      <c r="D107" s="25"/>
      <c r="E107" s="25"/>
      <c r="F107" s="4">
        <v>52.49</v>
      </c>
    </row>
    <row r="108" spans="1:40" x14ac:dyDescent="0.25">
      <c r="A108" s="3" t="s">
        <v>408</v>
      </c>
      <c r="B108" s="28"/>
      <c r="C108" s="3">
        <v>7</v>
      </c>
      <c r="D108" s="25"/>
      <c r="E108" s="25"/>
      <c r="F108" s="3">
        <v>49.8</v>
      </c>
    </row>
    <row r="109" spans="1:40" x14ac:dyDescent="0.25">
      <c r="A109" s="4" t="s">
        <v>408</v>
      </c>
      <c r="B109" s="28"/>
      <c r="C109" s="4">
        <v>8</v>
      </c>
      <c r="D109" s="25"/>
      <c r="E109" s="25"/>
      <c r="F109" s="4">
        <v>47.88</v>
      </c>
    </row>
    <row r="110" spans="1:40" x14ac:dyDescent="0.25">
      <c r="A110" s="3" t="s">
        <v>408</v>
      </c>
      <c r="B110" s="28"/>
      <c r="C110" s="3">
        <v>9</v>
      </c>
      <c r="D110" s="25"/>
      <c r="E110" s="25"/>
      <c r="F110" s="3">
        <v>61.79</v>
      </c>
    </row>
    <row r="111" spans="1:40" x14ac:dyDescent="0.25">
      <c r="A111" s="4" t="s">
        <v>408</v>
      </c>
      <c r="B111" s="29"/>
      <c r="C111" s="4">
        <v>10</v>
      </c>
      <c r="D111" s="26"/>
      <c r="E111" s="26"/>
      <c r="F111" s="4">
        <v>68.09</v>
      </c>
    </row>
    <row r="112" spans="1:40" x14ac:dyDescent="0.25">
      <c r="A112" s="3" t="s">
        <v>408</v>
      </c>
      <c r="B112" s="27" t="s">
        <v>392</v>
      </c>
      <c r="C112" s="3">
        <v>1</v>
      </c>
      <c r="D112" s="24">
        <v>7.58</v>
      </c>
      <c r="E112" s="24">
        <v>200.19</v>
      </c>
      <c r="F112" s="3">
        <v>534.82000000000005</v>
      </c>
    </row>
    <row r="113" spans="1:6" x14ac:dyDescent="0.25">
      <c r="A113" s="4" t="s">
        <v>408</v>
      </c>
      <c r="B113" s="28"/>
      <c r="C113" s="4">
        <v>2</v>
      </c>
      <c r="D113" s="25"/>
      <c r="E113" s="25"/>
      <c r="F113" s="4">
        <v>61.39</v>
      </c>
    </row>
    <row r="114" spans="1:6" x14ac:dyDescent="0.25">
      <c r="A114" s="3" t="s">
        <v>408</v>
      </c>
      <c r="B114" s="28"/>
      <c r="C114" s="3">
        <v>3</v>
      </c>
      <c r="D114" s="25"/>
      <c r="E114" s="25"/>
      <c r="F114" s="3">
        <v>55.2</v>
      </c>
    </row>
    <row r="115" spans="1:6" x14ac:dyDescent="0.25">
      <c r="A115" s="4" t="s">
        <v>408</v>
      </c>
      <c r="B115" s="28"/>
      <c r="C115" s="4">
        <v>4</v>
      </c>
      <c r="D115" s="25"/>
      <c r="E115" s="25"/>
      <c r="F115" s="4">
        <v>59.35</v>
      </c>
    </row>
    <row r="116" spans="1:6" x14ac:dyDescent="0.25">
      <c r="A116" s="3" t="s">
        <v>408</v>
      </c>
      <c r="B116" s="28"/>
      <c r="C116" s="3">
        <v>5</v>
      </c>
      <c r="D116" s="25"/>
      <c r="E116" s="25"/>
      <c r="F116" s="3">
        <v>60.91</v>
      </c>
    </row>
    <row r="117" spans="1:6" x14ac:dyDescent="0.25">
      <c r="A117" s="4" t="s">
        <v>408</v>
      </c>
      <c r="B117" s="28"/>
      <c r="C117" s="4">
        <v>6</v>
      </c>
      <c r="D117" s="25"/>
      <c r="E117" s="25"/>
      <c r="F117" s="4">
        <v>156.01</v>
      </c>
    </row>
    <row r="118" spans="1:6" x14ac:dyDescent="0.25">
      <c r="A118" s="3" t="s">
        <v>408</v>
      </c>
      <c r="B118" s="28"/>
      <c r="C118" s="3">
        <v>7</v>
      </c>
      <c r="D118" s="25"/>
      <c r="E118" s="25"/>
      <c r="F118" s="3">
        <v>62.73</v>
      </c>
    </row>
    <row r="119" spans="1:6" x14ac:dyDescent="0.25">
      <c r="A119" s="4" t="s">
        <v>408</v>
      </c>
      <c r="B119" s="28"/>
      <c r="C119" s="4">
        <v>8</v>
      </c>
      <c r="D119" s="25"/>
      <c r="E119" s="25"/>
      <c r="F119" s="4">
        <v>87.92</v>
      </c>
    </row>
    <row r="120" spans="1:6" x14ac:dyDescent="0.25">
      <c r="A120" s="3" t="s">
        <v>408</v>
      </c>
      <c r="B120" s="28"/>
      <c r="C120" s="3">
        <v>9</v>
      </c>
      <c r="D120" s="25"/>
      <c r="E120" s="25"/>
      <c r="F120" s="3">
        <v>86.03</v>
      </c>
    </row>
    <row r="121" spans="1:6" x14ac:dyDescent="0.25">
      <c r="A121" s="4" t="s">
        <v>408</v>
      </c>
      <c r="B121" s="29"/>
      <c r="C121" s="4">
        <v>10</v>
      </c>
      <c r="D121" s="26"/>
      <c r="E121" s="26"/>
      <c r="F121" s="4">
        <v>60.44</v>
      </c>
    </row>
    <row r="122" spans="1:6" x14ac:dyDescent="0.25">
      <c r="A122" s="3" t="s">
        <v>388</v>
      </c>
      <c r="B122" s="27" t="s">
        <v>393</v>
      </c>
      <c r="C122" s="3">
        <v>1</v>
      </c>
      <c r="D122" s="24">
        <v>0.28000000000000003</v>
      </c>
      <c r="E122" s="24">
        <v>11.88</v>
      </c>
      <c r="F122" s="3">
        <v>4.3</v>
      </c>
    </row>
    <row r="123" spans="1:6" x14ac:dyDescent="0.25">
      <c r="A123" s="4" t="s">
        <v>388</v>
      </c>
      <c r="B123" s="28"/>
      <c r="C123" s="4">
        <v>2</v>
      </c>
      <c r="D123" s="25"/>
      <c r="E123" s="25"/>
      <c r="F123" s="4">
        <v>3.06</v>
      </c>
    </row>
    <row r="124" spans="1:6" x14ac:dyDescent="0.25">
      <c r="A124" s="3" t="s">
        <v>388</v>
      </c>
      <c r="B124" s="28"/>
      <c r="C124" s="3">
        <v>3</v>
      </c>
      <c r="D124" s="25"/>
      <c r="E124" s="25"/>
      <c r="F124" s="3">
        <v>2.91</v>
      </c>
    </row>
    <row r="125" spans="1:6" x14ac:dyDescent="0.25">
      <c r="A125" s="4" t="s">
        <v>388</v>
      </c>
      <c r="B125" s="28"/>
      <c r="C125" s="4">
        <v>4</v>
      </c>
      <c r="D125" s="25"/>
      <c r="E125" s="25"/>
      <c r="F125" s="4">
        <v>8.59</v>
      </c>
    </row>
    <row r="126" spans="1:6" x14ac:dyDescent="0.25">
      <c r="A126" s="3" t="s">
        <v>388</v>
      </c>
      <c r="B126" s="28"/>
      <c r="C126" s="3">
        <v>5</v>
      </c>
      <c r="D126" s="25"/>
      <c r="E126" s="25"/>
      <c r="F126" s="3">
        <v>3.39</v>
      </c>
    </row>
    <row r="127" spans="1:6" x14ac:dyDescent="0.25">
      <c r="A127" s="4" t="s">
        <v>388</v>
      </c>
      <c r="B127" s="28"/>
      <c r="C127" s="4">
        <v>6</v>
      </c>
      <c r="D127" s="25"/>
      <c r="E127" s="25"/>
      <c r="F127" s="4">
        <v>3.2</v>
      </c>
    </row>
    <row r="128" spans="1:6" x14ac:dyDescent="0.25">
      <c r="A128" s="3" t="s">
        <v>388</v>
      </c>
      <c r="B128" s="28"/>
      <c r="C128" s="3">
        <v>7</v>
      </c>
      <c r="D128" s="25"/>
      <c r="E128" s="25"/>
      <c r="F128" s="3">
        <v>5.27</v>
      </c>
    </row>
    <row r="129" spans="1:6" x14ac:dyDescent="0.25">
      <c r="A129" s="4" t="s">
        <v>388</v>
      </c>
      <c r="B129" s="28"/>
      <c r="C129" s="4">
        <v>8</v>
      </c>
      <c r="D129" s="25"/>
      <c r="E129" s="25"/>
      <c r="F129" s="4">
        <v>3.97</v>
      </c>
    </row>
    <row r="130" spans="1:6" x14ac:dyDescent="0.25">
      <c r="A130" s="3" t="s">
        <v>388</v>
      </c>
      <c r="B130" s="28"/>
      <c r="C130" s="3">
        <v>9</v>
      </c>
      <c r="D130" s="25"/>
      <c r="E130" s="25"/>
      <c r="F130" s="3">
        <v>3.51</v>
      </c>
    </row>
    <row r="131" spans="1:6" x14ac:dyDescent="0.25">
      <c r="A131" s="4" t="s">
        <v>388</v>
      </c>
      <c r="B131" s="29"/>
      <c r="C131" s="4">
        <v>10</v>
      </c>
      <c r="D131" s="26"/>
      <c r="E131" s="26"/>
      <c r="F131" s="4">
        <v>3.59</v>
      </c>
    </row>
    <row r="132" spans="1:6" x14ac:dyDescent="0.25">
      <c r="A132" s="3" t="s">
        <v>388</v>
      </c>
      <c r="B132" s="27" t="s">
        <v>394</v>
      </c>
      <c r="C132" s="3">
        <v>1</v>
      </c>
      <c r="D132" s="24">
        <v>0.32</v>
      </c>
      <c r="E132" s="24">
        <v>176.94</v>
      </c>
      <c r="F132" s="3">
        <v>8.27</v>
      </c>
    </row>
    <row r="133" spans="1:6" x14ac:dyDescent="0.25">
      <c r="A133" s="4" t="s">
        <v>388</v>
      </c>
      <c r="B133" s="28"/>
      <c r="C133" s="4">
        <v>2</v>
      </c>
      <c r="D133" s="25"/>
      <c r="E133" s="25"/>
      <c r="F133" s="4">
        <v>1.71</v>
      </c>
    </row>
    <row r="134" spans="1:6" x14ac:dyDescent="0.25">
      <c r="A134" s="3" t="s">
        <v>388</v>
      </c>
      <c r="B134" s="28"/>
      <c r="C134" s="3">
        <v>3</v>
      </c>
      <c r="D134" s="25"/>
      <c r="E134" s="25"/>
      <c r="F134" s="3">
        <v>1.82</v>
      </c>
    </row>
    <row r="135" spans="1:6" x14ac:dyDescent="0.25">
      <c r="A135" s="4" t="s">
        <v>388</v>
      </c>
      <c r="B135" s="28"/>
      <c r="C135" s="4">
        <v>4</v>
      </c>
      <c r="D135" s="25"/>
      <c r="E135" s="25"/>
      <c r="F135" s="4">
        <v>6.29</v>
      </c>
    </row>
    <row r="136" spans="1:6" x14ac:dyDescent="0.25">
      <c r="A136" s="3" t="s">
        <v>388</v>
      </c>
      <c r="B136" s="28"/>
      <c r="C136" s="3">
        <v>5</v>
      </c>
      <c r="D136" s="25"/>
      <c r="E136" s="25"/>
      <c r="F136" s="3">
        <v>1.81</v>
      </c>
    </row>
    <row r="137" spans="1:6" x14ac:dyDescent="0.25">
      <c r="A137" s="4" t="s">
        <v>388</v>
      </c>
      <c r="B137" s="28"/>
      <c r="C137" s="4">
        <v>6</v>
      </c>
      <c r="D137" s="25"/>
      <c r="E137" s="25"/>
      <c r="F137" s="4">
        <v>1.61</v>
      </c>
    </row>
    <row r="138" spans="1:6" x14ac:dyDescent="0.25">
      <c r="A138" s="3" t="s">
        <v>388</v>
      </c>
      <c r="B138" s="28"/>
      <c r="C138" s="3">
        <v>7</v>
      </c>
      <c r="D138" s="25"/>
      <c r="E138" s="25"/>
      <c r="F138" s="3">
        <v>1.59</v>
      </c>
    </row>
    <row r="139" spans="1:6" x14ac:dyDescent="0.25">
      <c r="A139" s="4" t="s">
        <v>388</v>
      </c>
      <c r="B139" s="28"/>
      <c r="C139" s="4">
        <v>8</v>
      </c>
      <c r="D139" s="25"/>
      <c r="E139" s="25"/>
      <c r="F139" s="4">
        <v>1.54</v>
      </c>
    </row>
    <row r="140" spans="1:6" x14ac:dyDescent="0.25">
      <c r="A140" s="3" t="s">
        <v>388</v>
      </c>
      <c r="B140" s="28"/>
      <c r="C140" s="3">
        <v>9</v>
      </c>
      <c r="D140" s="25"/>
      <c r="E140" s="25"/>
      <c r="F140" s="3">
        <v>1.59</v>
      </c>
    </row>
    <row r="141" spans="1:6" x14ac:dyDescent="0.25">
      <c r="A141" s="4" t="s">
        <v>388</v>
      </c>
      <c r="B141" s="29"/>
      <c r="C141" s="4">
        <v>10</v>
      </c>
      <c r="D141" s="26"/>
      <c r="E141" s="26"/>
      <c r="F141" s="4">
        <v>5.68</v>
      </c>
    </row>
  </sheetData>
  <mergeCells count="149">
    <mergeCell ref="AV30:AV39"/>
    <mergeCell ref="AV40:AV49"/>
    <mergeCell ref="AG15:AG24"/>
    <mergeCell ref="AG52:AG61"/>
    <mergeCell ref="AG62:AG71"/>
    <mergeCell ref="AG72:AG81"/>
    <mergeCell ref="AG82:AG91"/>
    <mergeCell ref="AO30:AO39"/>
    <mergeCell ref="AO40:AO49"/>
    <mergeCell ref="AN30:AN39"/>
    <mergeCell ref="AN40:AN49"/>
    <mergeCell ref="AQ30:AQ39"/>
    <mergeCell ref="AQ40:AQ49"/>
    <mergeCell ref="AR30:AR39"/>
    <mergeCell ref="AS30:AS39"/>
    <mergeCell ref="AR40:AR49"/>
    <mergeCell ref="AS40:AS49"/>
    <mergeCell ref="AP30:AP39"/>
    <mergeCell ref="AP40:AP49"/>
    <mergeCell ref="AD52:AD61"/>
    <mergeCell ref="AD62:AD71"/>
    <mergeCell ref="AD72:AD81"/>
    <mergeCell ref="AD82:AD91"/>
    <mergeCell ref="AI30:AI39"/>
    <mergeCell ref="AI40:AI49"/>
    <mergeCell ref="AB52:AB61"/>
    <mergeCell ref="AB62:AB71"/>
    <mergeCell ref="AB72:AB81"/>
    <mergeCell ref="AB82:AB91"/>
    <mergeCell ref="AC52:AC61"/>
    <mergeCell ref="AC62:AC71"/>
    <mergeCell ref="AC72:AC81"/>
    <mergeCell ref="AC82:AC91"/>
    <mergeCell ref="AB25:AB34"/>
    <mergeCell ref="N49:N58"/>
    <mergeCell ref="N59:N68"/>
    <mergeCell ref="N69:N78"/>
    <mergeCell ref="N79:N88"/>
    <mergeCell ref="S49:S58"/>
    <mergeCell ref="S59:S68"/>
    <mergeCell ref="S69:S78"/>
    <mergeCell ref="S79:S88"/>
    <mergeCell ref="Z5:Z14"/>
    <mergeCell ref="Z29:Z38"/>
    <mergeCell ref="Z39:Z48"/>
    <mergeCell ref="AK40:AK49"/>
    <mergeCell ref="O49:O58"/>
    <mergeCell ref="P49:P58"/>
    <mergeCell ref="O59:O68"/>
    <mergeCell ref="P59:P68"/>
    <mergeCell ref="O69:O78"/>
    <mergeCell ref="P69:P78"/>
    <mergeCell ref="O79:O88"/>
    <mergeCell ref="P79:P88"/>
    <mergeCell ref="N5:N14"/>
    <mergeCell ref="N15:N24"/>
    <mergeCell ref="N25:N34"/>
    <mergeCell ref="N35:N44"/>
    <mergeCell ref="U5:U14"/>
    <mergeCell ref="U15:U24"/>
    <mergeCell ref="U29:U38"/>
    <mergeCell ref="U39:U48"/>
    <mergeCell ref="AQ5:AQ14"/>
    <mergeCell ref="X5:X14"/>
    <mergeCell ref="W15:W24"/>
    <mergeCell ref="X15:X24"/>
    <mergeCell ref="AB15:AB24"/>
    <mergeCell ref="AB5:AB14"/>
    <mergeCell ref="Q25:Q34"/>
    <mergeCell ref="P35:P44"/>
    <mergeCell ref="Q35:Q44"/>
    <mergeCell ref="W5:W14"/>
    <mergeCell ref="V29:V38"/>
    <mergeCell ref="W29:W38"/>
    <mergeCell ref="V39:V48"/>
    <mergeCell ref="W39:W48"/>
    <mergeCell ref="AB35:AB44"/>
    <mergeCell ref="AI5:AI14"/>
    <mergeCell ref="AS5:AS14"/>
    <mergeCell ref="AT5:AT14"/>
    <mergeCell ref="AQ15:AQ24"/>
    <mergeCell ref="AS15:AS24"/>
    <mergeCell ref="AT15:AT24"/>
    <mergeCell ref="AD35:AD44"/>
    <mergeCell ref="AE35:AE44"/>
    <mergeCell ref="AK5:AK14"/>
    <mergeCell ref="AL5:AL14"/>
    <mergeCell ref="AK15:AK24"/>
    <mergeCell ref="AL15:AL24"/>
    <mergeCell ref="AG5:AG14"/>
    <mergeCell ref="AE5:AE14"/>
    <mergeCell ref="AD15:AD24"/>
    <mergeCell ref="AE15:AE24"/>
    <mergeCell ref="AD25:AD34"/>
    <mergeCell ref="AE25:AE34"/>
    <mergeCell ref="AD5:AD14"/>
    <mergeCell ref="AI15:AI24"/>
    <mergeCell ref="AP5:AP14"/>
    <mergeCell ref="AP15:AP24"/>
    <mergeCell ref="AJ30:AJ39"/>
    <mergeCell ref="AK30:AK39"/>
    <mergeCell ref="AJ40:AJ49"/>
    <mergeCell ref="B122:B131"/>
    <mergeCell ref="B132:B141"/>
    <mergeCell ref="P5:P14"/>
    <mergeCell ref="Q5:Q14"/>
    <mergeCell ref="P15:P24"/>
    <mergeCell ref="Q15:Q24"/>
    <mergeCell ref="P25:P34"/>
    <mergeCell ref="B62:B71"/>
    <mergeCell ref="B72:B81"/>
    <mergeCell ref="B82:B91"/>
    <mergeCell ref="B92:B101"/>
    <mergeCell ref="B102:B111"/>
    <mergeCell ref="B112:B121"/>
    <mergeCell ref="D122:D131"/>
    <mergeCell ref="E122:E131"/>
    <mergeCell ref="D132:D141"/>
    <mergeCell ref="E132:E141"/>
    <mergeCell ref="B2:B11"/>
    <mergeCell ref="B12:B21"/>
    <mergeCell ref="B22:B31"/>
    <mergeCell ref="B32:B41"/>
    <mergeCell ref="B42:B51"/>
    <mergeCell ref="B52:B61"/>
    <mergeCell ref="D92:D101"/>
    <mergeCell ref="E92:E101"/>
    <mergeCell ref="D102:D111"/>
    <mergeCell ref="E102:E111"/>
    <mergeCell ref="D112:D121"/>
    <mergeCell ref="E112:E121"/>
    <mergeCell ref="D62:D71"/>
    <mergeCell ref="E62:E71"/>
    <mergeCell ref="D72:D81"/>
    <mergeCell ref="E72:E81"/>
    <mergeCell ref="D82:D91"/>
    <mergeCell ref="E82:E91"/>
    <mergeCell ref="D32:D41"/>
    <mergeCell ref="E32:E41"/>
    <mergeCell ref="D42:D51"/>
    <mergeCell ref="E42:E51"/>
    <mergeCell ref="D52:D61"/>
    <mergeCell ref="E52:E61"/>
    <mergeCell ref="D2:D11"/>
    <mergeCell ref="E2:E11"/>
    <mergeCell ref="D12:D21"/>
    <mergeCell ref="E12:E21"/>
    <mergeCell ref="D22:D31"/>
    <mergeCell ref="E22:E3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C0ADD-ADC6-484B-881B-13AE5FEC373D}">
  <dimension ref="A1:BR125"/>
  <sheetViews>
    <sheetView zoomScaleNormal="100" workbookViewId="0">
      <selection activeCell="AP70" sqref="AP70:AR82"/>
    </sheetView>
  </sheetViews>
  <sheetFormatPr defaultRowHeight="15" x14ac:dyDescent="0.25"/>
  <cols>
    <col min="1" max="1" width="17" bestFit="1" customWidth="1"/>
    <col min="2" max="2" width="17.28515625" bestFit="1" customWidth="1"/>
    <col min="3" max="3" width="14.85546875" bestFit="1" customWidth="1"/>
    <col min="4" max="4" width="24.42578125" bestFit="1" customWidth="1"/>
    <col min="5" max="5" width="21.28515625" bestFit="1" customWidth="1"/>
    <col min="6" max="6" width="14.42578125" bestFit="1" customWidth="1"/>
    <col min="7" max="7" width="19.85546875" bestFit="1" customWidth="1"/>
    <col min="8" max="8" width="81.140625" bestFit="1" customWidth="1"/>
    <col min="13" max="13" width="27.5703125" customWidth="1"/>
    <col min="14" max="14" width="22.5703125" customWidth="1"/>
    <col min="15" max="15" width="20.42578125" customWidth="1"/>
    <col min="16" max="16" width="18.28515625" customWidth="1"/>
    <col min="17" max="17" width="16.28515625" customWidth="1"/>
    <col min="18" max="18" width="23.85546875" customWidth="1"/>
    <col min="19" max="19" width="26.140625" customWidth="1"/>
    <col min="21" max="21" width="27.28515625" customWidth="1"/>
    <col min="22" max="22" width="21.42578125" customWidth="1"/>
    <col min="23" max="23" width="31.5703125" customWidth="1"/>
    <col min="24" max="24" width="26.85546875" customWidth="1"/>
    <col min="25" max="25" width="52.42578125" customWidth="1"/>
    <col min="35" max="35" width="20.140625" customWidth="1"/>
    <col min="36" max="36" width="18.7109375" customWidth="1"/>
    <col min="37" max="37" width="19.140625" customWidth="1"/>
    <col min="38" max="38" width="16.28515625" customWidth="1"/>
    <col min="39" max="39" width="16.140625" customWidth="1"/>
    <col min="40" max="40" width="14.42578125" customWidth="1"/>
    <col min="42" max="42" width="20.42578125" customWidth="1"/>
    <col min="43" max="43" width="19" customWidth="1"/>
    <col min="44" max="44" width="21.5703125" customWidth="1"/>
    <col min="45" max="45" width="19.28515625" customWidth="1"/>
    <col min="46" max="46" width="15.42578125" customWidth="1"/>
    <col min="49" max="49" width="23.28515625" customWidth="1"/>
    <col min="50" max="50" width="26.42578125" customWidth="1"/>
    <col min="51" max="52" width="20.140625" customWidth="1"/>
    <col min="53" max="53" width="30" customWidth="1"/>
    <col min="54" max="54" width="16.7109375" customWidth="1"/>
    <col min="55" max="55" width="23.42578125" customWidth="1"/>
    <col min="56" max="56" width="31.42578125" customWidth="1"/>
    <col min="57" max="57" width="20.5703125" customWidth="1"/>
    <col min="58" max="58" width="22.5703125" customWidth="1"/>
    <col min="59" max="59" width="29.28515625" customWidth="1"/>
    <col min="60" max="61" width="27.5703125" customWidth="1"/>
    <col min="62" max="62" width="42.85546875" customWidth="1"/>
    <col min="63" max="63" width="45.7109375" customWidth="1"/>
    <col min="64" max="64" width="25.5703125" customWidth="1"/>
    <col min="65" max="65" width="40.5703125" customWidth="1"/>
    <col min="66" max="66" width="24.28515625" customWidth="1"/>
    <col min="67" max="68" width="20" customWidth="1"/>
    <col min="69" max="69" width="22.42578125" customWidth="1"/>
  </cols>
  <sheetData>
    <row r="1" spans="1:70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3</v>
      </c>
      <c r="G1" t="s">
        <v>6</v>
      </c>
      <c r="H1" t="s">
        <v>400</v>
      </c>
    </row>
    <row r="2" spans="1:70" x14ac:dyDescent="0.25">
      <c r="A2" t="s">
        <v>401</v>
      </c>
      <c r="B2" t="s">
        <v>406</v>
      </c>
      <c r="C2" t="s">
        <v>389</v>
      </c>
      <c r="D2">
        <v>78.53</v>
      </c>
      <c r="E2">
        <v>1103.55</v>
      </c>
      <c r="F2">
        <v>1</v>
      </c>
      <c r="G2">
        <v>463.79</v>
      </c>
      <c r="H2" t="s">
        <v>402</v>
      </c>
      <c r="AI2" t="s">
        <v>389</v>
      </c>
      <c r="AP2" t="s">
        <v>390</v>
      </c>
      <c r="AW2" t="s">
        <v>391</v>
      </c>
      <c r="BD2" t="s">
        <v>392</v>
      </c>
      <c r="BK2" t="s">
        <v>404</v>
      </c>
    </row>
    <row r="3" spans="1:70" x14ac:dyDescent="0.25">
      <c r="A3" t="s">
        <v>401</v>
      </c>
      <c r="B3" t="s">
        <v>406</v>
      </c>
      <c r="C3" t="s">
        <v>389</v>
      </c>
      <c r="D3">
        <v>78.53</v>
      </c>
      <c r="E3">
        <v>1103.55</v>
      </c>
      <c r="F3">
        <v>2</v>
      </c>
      <c r="G3">
        <v>210.81</v>
      </c>
      <c r="H3" t="s">
        <v>402</v>
      </c>
      <c r="R3" s="1" t="s">
        <v>0</v>
      </c>
      <c r="S3" s="2" t="s">
        <v>1</v>
      </c>
      <c r="T3" s="2" t="s">
        <v>2</v>
      </c>
      <c r="U3" s="2" t="s">
        <v>395</v>
      </c>
      <c r="V3" s="2" t="s">
        <v>396</v>
      </c>
      <c r="W3" s="2" t="s">
        <v>399</v>
      </c>
      <c r="X3" s="2" t="s">
        <v>397</v>
      </c>
      <c r="Y3" s="5" t="s">
        <v>400</v>
      </c>
      <c r="AI3" s="2" t="s">
        <v>1</v>
      </c>
      <c r="AJ3" s="2" t="s">
        <v>395</v>
      </c>
      <c r="AK3" s="2" t="s">
        <v>396</v>
      </c>
      <c r="AL3" s="2" t="s">
        <v>399</v>
      </c>
      <c r="AM3" s="2" t="s">
        <v>397</v>
      </c>
      <c r="AN3" s="19" t="s">
        <v>412</v>
      </c>
      <c r="AP3" s="2" t="s">
        <v>1</v>
      </c>
      <c r="AQ3" s="2" t="s">
        <v>395</v>
      </c>
      <c r="AR3" s="2" t="s">
        <v>396</v>
      </c>
      <c r="AS3" s="2" t="s">
        <v>399</v>
      </c>
      <c r="AT3" s="2" t="s">
        <v>397</v>
      </c>
      <c r="AU3" s="19" t="s">
        <v>412</v>
      </c>
      <c r="AW3" s="2" t="s">
        <v>1</v>
      </c>
      <c r="AX3" s="2" t="s">
        <v>395</v>
      </c>
      <c r="AY3" s="2" t="s">
        <v>396</v>
      </c>
      <c r="AZ3" s="2" t="s">
        <v>399</v>
      </c>
      <c r="BA3" s="2" t="s">
        <v>397</v>
      </c>
      <c r="BB3" s="19" t="s">
        <v>412</v>
      </c>
      <c r="BD3" s="2" t="s">
        <v>1</v>
      </c>
      <c r="BE3" s="2" t="s">
        <v>395</v>
      </c>
      <c r="BF3" s="2" t="s">
        <v>396</v>
      </c>
      <c r="BG3" s="2" t="s">
        <v>399</v>
      </c>
      <c r="BH3" s="2" t="s">
        <v>397</v>
      </c>
      <c r="BI3" s="19" t="s">
        <v>412</v>
      </c>
      <c r="BK3" s="2" t="s">
        <v>1</v>
      </c>
      <c r="BL3" s="2" t="s">
        <v>2</v>
      </c>
      <c r="BM3" s="2" t="s">
        <v>395</v>
      </c>
      <c r="BN3" s="2" t="s">
        <v>396</v>
      </c>
      <c r="BO3" s="2" t="s">
        <v>399</v>
      </c>
      <c r="BP3" s="2" t="s">
        <v>397</v>
      </c>
      <c r="BQ3" s="19" t="s">
        <v>412</v>
      </c>
    </row>
    <row r="4" spans="1:70" x14ac:dyDescent="0.25">
      <c r="A4" t="s">
        <v>401</v>
      </c>
      <c r="B4" t="s">
        <v>406</v>
      </c>
      <c r="C4" t="s">
        <v>389</v>
      </c>
      <c r="D4">
        <v>78.53</v>
      </c>
      <c r="E4">
        <v>1103.55</v>
      </c>
      <c r="F4">
        <v>3</v>
      </c>
      <c r="G4">
        <v>200.39</v>
      </c>
      <c r="H4" t="s">
        <v>402</v>
      </c>
      <c r="R4" s="6" t="s">
        <v>401</v>
      </c>
      <c r="S4" s="27" t="s">
        <v>406</v>
      </c>
      <c r="T4" s="27" t="s">
        <v>389</v>
      </c>
      <c r="U4" s="27">
        <v>78.53</v>
      </c>
      <c r="V4" s="27">
        <v>1103.55</v>
      </c>
      <c r="W4" s="3">
        <v>1</v>
      </c>
      <c r="X4" s="3">
        <v>463.79</v>
      </c>
      <c r="Y4" s="7" t="s">
        <v>402</v>
      </c>
      <c r="AI4" s="27" t="s">
        <v>407</v>
      </c>
      <c r="AJ4" s="24">
        <v>78.53</v>
      </c>
      <c r="AK4" s="24">
        <v>1103.55</v>
      </c>
      <c r="AL4" s="3">
        <v>1</v>
      </c>
      <c r="AM4" s="15">
        <v>463.79</v>
      </c>
      <c r="AN4" s="30">
        <f>SLOPE(AM4:AM13,AL4:AL13)</f>
        <v>-15.723636363636365</v>
      </c>
      <c r="AO4">
        <v>-15.723636363636365</v>
      </c>
      <c r="AP4" s="27" t="s">
        <v>407</v>
      </c>
      <c r="AQ4" s="27">
        <v>22.32</v>
      </c>
      <c r="AR4" s="27">
        <v>997.05</v>
      </c>
      <c r="AS4" s="3">
        <v>1</v>
      </c>
      <c r="AT4" s="3">
        <v>1173.8399999999999</v>
      </c>
      <c r="AU4" s="30">
        <f>SLOPE(AT4:AT13,AS4:AS13)</f>
        <v>-62.675696969696943</v>
      </c>
      <c r="AV4">
        <v>-62.675696969696943</v>
      </c>
      <c r="AW4" s="27" t="s">
        <v>407</v>
      </c>
      <c r="AX4" s="27">
        <v>113.42</v>
      </c>
      <c r="AY4" s="27">
        <v>999.27</v>
      </c>
      <c r="AZ4" s="3">
        <v>1</v>
      </c>
      <c r="BA4" s="3">
        <v>625.39</v>
      </c>
      <c r="BB4" s="30">
        <f>SLOPE(BA4:BA13,AZ4:AZ13)</f>
        <v>-33.100363636363632</v>
      </c>
      <c r="BC4">
        <v>-33.100363636363632</v>
      </c>
      <c r="BD4" s="27" t="s">
        <v>385</v>
      </c>
      <c r="BE4" s="31">
        <v>287.79000000000002</v>
      </c>
      <c r="BF4" s="31">
        <v>6972.37</v>
      </c>
      <c r="BG4" s="4">
        <v>1</v>
      </c>
      <c r="BH4" s="4">
        <v>1068.58</v>
      </c>
      <c r="BI4" s="30">
        <f>SLOPE(BH4:BH13,BG4:BG13)</f>
        <v>-8.592303030303027</v>
      </c>
      <c r="BJ4">
        <v>-8.592303030303027</v>
      </c>
      <c r="BK4" s="27" t="s">
        <v>388</v>
      </c>
      <c r="BL4" s="27" t="s">
        <v>393</v>
      </c>
      <c r="BM4" s="27">
        <v>0.3</v>
      </c>
      <c r="BN4" s="27">
        <v>134.86000000000001</v>
      </c>
      <c r="BO4" s="3">
        <v>1</v>
      </c>
      <c r="BP4" s="3">
        <v>27.94</v>
      </c>
      <c r="BQ4" s="30">
        <f>SLOPE(BP4:BP13,BO4:BO13)</f>
        <v>0.1632121212121212</v>
      </c>
      <c r="BR4">
        <v>0.1632121212121212</v>
      </c>
    </row>
    <row r="5" spans="1:70" x14ac:dyDescent="0.25">
      <c r="A5" t="s">
        <v>401</v>
      </c>
      <c r="B5" t="s">
        <v>406</v>
      </c>
      <c r="C5" t="s">
        <v>389</v>
      </c>
      <c r="D5">
        <v>78.53</v>
      </c>
      <c r="E5">
        <v>1103.55</v>
      </c>
      <c r="F5">
        <v>4</v>
      </c>
      <c r="G5">
        <v>204.8</v>
      </c>
      <c r="H5" t="s">
        <v>402</v>
      </c>
      <c r="R5" s="8" t="s">
        <v>401</v>
      </c>
      <c r="S5" s="28"/>
      <c r="T5" s="28"/>
      <c r="U5" s="28"/>
      <c r="V5" s="28"/>
      <c r="W5" s="4">
        <v>2</v>
      </c>
      <c r="X5" s="4">
        <v>210.81</v>
      </c>
      <c r="Y5" s="9" t="s">
        <v>402</v>
      </c>
      <c r="AI5" s="28"/>
      <c r="AJ5" s="25"/>
      <c r="AK5" s="25"/>
      <c r="AL5" s="4">
        <v>2</v>
      </c>
      <c r="AM5" s="16">
        <v>210.81</v>
      </c>
      <c r="AN5" s="30"/>
      <c r="AP5" s="28"/>
      <c r="AQ5" s="28"/>
      <c r="AR5" s="28"/>
      <c r="AS5" s="4">
        <v>2</v>
      </c>
      <c r="AT5" s="4">
        <v>41.88</v>
      </c>
      <c r="AU5" s="30"/>
      <c r="AW5" s="28"/>
      <c r="AX5" s="28"/>
      <c r="AY5" s="28"/>
      <c r="AZ5" s="4">
        <v>2</v>
      </c>
      <c r="BA5" s="4">
        <v>33.869999999999997</v>
      </c>
      <c r="BB5" s="30"/>
      <c r="BD5" s="28"/>
      <c r="BE5" s="30"/>
      <c r="BF5" s="30"/>
      <c r="BG5" s="3">
        <v>2</v>
      </c>
      <c r="BH5" s="15">
        <v>870.38</v>
      </c>
      <c r="BI5" s="30"/>
      <c r="BK5" s="28"/>
      <c r="BL5" s="28"/>
      <c r="BM5" s="28"/>
      <c r="BN5" s="28"/>
      <c r="BO5" s="4">
        <v>2</v>
      </c>
      <c r="BP5" s="4">
        <v>27.77</v>
      </c>
      <c r="BQ5" s="30"/>
    </row>
    <row r="6" spans="1:70" x14ac:dyDescent="0.25">
      <c r="A6" t="s">
        <v>401</v>
      </c>
      <c r="B6" t="s">
        <v>406</v>
      </c>
      <c r="C6" t="s">
        <v>389</v>
      </c>
      <c r="D6">
        <v>78.53</v>
      </c>
      <c r="E6">
        <v>1103.55</v>
      </c>
      <c r="F6">
        <v>5</v>
      </c>
      <c r="G6">
        <v>198.34</v>
      </c>
      <c r="H6" t="s">
        <v>402</v>
      </c>
      <c r="R6" s="6" t="s">
        <v>401</v>
      </c>
      <c r="S6" s="28"/>
      <c r="T6" s="28"/>
      <c r="U6" s="28"/>
      <c r="V6" s="28"/>
      <c r="W6" s="3">
        <v>3</v>
      </c>
      <c r="X6" s="3">
        <v>200.39</v>
      </c>
      <c r="Y6" s="7" t="s">
        <v>402</v>
      </c>
      <c r="AI6" s="28"/>
      <c r="AJ6" s="25"/>
      <c r="AK6" s="25"/>
      <c r="AL6" s="3">
        <v>3</v>
      </c>
      <c r="AM6" s="15">
        <v>200.39</v>
      </c>
      <c r="AN6" s="30"/>
      <c r="AP6" s="28"/>
      <c r="AQ6" s="28"/>
      <c r="AR6" s="28"/>
      <c r="AS6" s="3">
        <v>3</v>
      </c>
      <c r="AT6" s="3">
        <v>44.95</v>
      </c>
      <c r="AU6" s="30"/>
      <c r="AW6" s="28"/>
      <c r="AX6" s="28"/>
      <c r="AY6" s="28"/>
      <c r="AZ6" s="3">
        <v>3</v>
      </c>
      <c r="BA6" s="3">
        <v>26.51</v>
      </c>
      <c r="BB6" s="30"/>
      <c r="BD6" s="28"/>
      <c r="BE6" s="30"/>
      <c r="BF6" s="30"/>
      <c r="BG6" s="4">
        <v>3</v>
      </c>
      <c r="BH6" s="16">
        <v>863.03</v>
      </c>
      <c r="BI6" s="30"/>
      <c r="BK6" s="28"/>
      <c r="BL6" s="28"/>
      <c r="BM6" s="28"/>
      <c r="BN6" s="28"/>
      <c r="BO6" s="3">
        <v>3</v>
      </c>
      <c r="BP6" s="3">
        <v>27.33</v>
      </c>
      <c r="BQ6" s="30"/>
    </row>
    <row r="7" spans="1:70" x14ac:dyDescent="0.25">
      <c r="A7" t="s">
        <v>401</v>
      </c>
      <c r="B7" t="s">
        <v>406</v>
      </c>
      <c r="C7" t="s">
        <v>389</v>
      </c>
      <c r="D7">
        <v>78.53</v>
      </c>
      <c r="E7">
        <v>1103.55</v>
      </c>
      <c r="F7">
        <v>6</v>
      </c>
      <c r="G7">
        <v>195.45</v>
      </c>
      <c r="H7" t="s">
        <v>402</v>
      </c>
      <c r="R7" s="8" t="s">
        <v>401</v>
      </c>
      <c r="S7" s="28"/>
      <c r="T7" s="28"/>
      <c r="U7" s="28"/>
      <c r="V7" s="28"/>
      <c r="W7" s="4">
        <v>4</v>
      </c>
      <c r="X7" s="4">
        <v>204.8</v>
      </c>
      <c r="Y7" s="9" t="s">
        <v>402</v>
      </c>
      <c r="AI7" s="28"/>
      <c r="AJ7" s="25"/>
      <c r="AK7" s="25"/>
      <c r="AL7" s="4">
        <v>4</v>
      </c>
      <c r="AM7" s="16">
        <v>204.8</v>
      </c>
      <c r="AN7" s="30"/>
      <c r="AP7" s="28"/>
      <c r="AQ7" s="28"/>
      <c r="AR7" s="28"/>
      <c r="AS7" s="4">
        <v>4</v>
      </c>
      <c r="AT7" s="4">
        <v>36.950000000000003</v>
      </c>
      <c r="AU7" s="30"/>
      <c r="AW7" s="28"/>
      <c r="AX7" s="28"/>
      <c r="AY7" s="28"/>
      <c r="AZ7" s="4">
        <v>4</v>
      </c>
      <c r="BA7" s="4">
        <v>23.05</v>
      </c>
      <c r="BB7" s="30"/>
      <c r="BD7" s="28"/>
      <c r="BE7" s="30"/>
      <c r="BF7" s="30"/>
      <c r="BG7" s="3">
        <v>4</v>
      </c>
      <c r="BH7" s="15">
        <v>853.82</v>
      </c>
      <c r="BI7" s="30"/>
      <c r="BK7" s="28"/>
      <c r="BL7" s="28"/>
      <c r="BM7" s="28"/>
      <c r="BN7" s="28"/>
      <c r="BO7" s="4">
        <v>4</v>
      </c>
      <c r="BP7" s="4">
        <v>28.37</v>
      </c>
      <c r="BQ7" s="30"/>
    </row>
    <row r="8" spans="1:70" x14ac:dyDescent="0.25">
      <c r="A8" t="s">
        <v>401</v>
      </c>
      <c r="B8" t="s">
        <v>406</v>
      </c>
      <c r="C8" t="s">
        <v>389</v>
      </c>
      <c r="D8">
        <v>78.53</v>
      </c>
      <c r="E8">
        <v>1103.55</v>
      </c>
      <c r="F8">
        <v>7</v>
      </c>
      <c r="G8">
        <v>192.41</v>
      </c>
      <c r="H8" t="s">
        <v>402</v>
      </c>
      <c r="R8" s="6" t="s">
        <v>401</v>
      </c>
      <c r="S8" s="28"/>
      <c r="T8" s="28"/>
      <c r="U8" s="28"/>
      <c r="V8" s="28"/>
      <c r="W8" s="3">
        <v>5</v>
      </c>
      <c r="X8" s="3">
        <v>198.34</v>
      </c>
      <c r="Y8" s="7" t="s">
        <v>402</v>
      </c>
      <c r="AI8" s="28"/>
      <c r="AJ8" s="25"/>
      <c r="AK8" s="25"/>
      <c r="AL8" s="3">
        <v>5</v>
      </c>
      <c r="AM8" s="15">
        <v>198.34</v>
      </c>
      <c r="AN8" s="30"/>
      <c r="AP8" s="28"/>
      <c r="AQ8" s="28"/>
      <c r="AR8" s="28"/>
      <c r="AS8" s="3">
        <v>5</v>
      </c>
      <c r="AT8" s="3">
        <v>41.2</v>
      </c>
      <c r="AU8" s="30"/>
      <c r="AW8" s="28"/>
      <c r="AX8" s="28"/>
      <c r="AY8" s="28"/>
      <c r="AZ8" s="3">
        <v>5</v>
      </c>
      <c r="BA8" s="3">
        <v>26.34</v>
      </c>
      <c r="BB8" s="30"/>
      <c r="BD8" s="28"/>
      <c r="BE8" s="30"/>
      <c r="BF8" s="30"/>
      <c r="BG8" s="4">
        <v>5</v>
      </c>
      <c r="BH8" s="16">
        <v>893.87</v>
      </c>
      <c r="BI8" s="30"/>
      <c r="BK8" s="28"/>
      <c r="BL8" s="28"/>
      <c r="BM8" s="28"/>
      <c r="BN8" s="28"/>
      <c r="BO8" s="3">
        <v>5</v>
      </c>
      <c r="BP8" s="3">
        <v>28.48</v>
      </c>
      <c r="BQ8" s="30"/>
    </row>
    <row r="9" spans="1:70" x14ac:dyDescent="0.25">
      <c r="A9" t="s">
        <v>401</v>
      </c>
      <c r="B9" t="s">
        <v>406</v>
      </c>
      <c r="C9" t="s">
        <v>389</v>
      </c>
      <c r="D9">
        <v>78.53</v>
      </c>
      <c r="E9">
        <v>1103.55</v>
      </c>
      <c r="F9">
        <v>8</v>
      </c>
      <c r="G9">
        <v>187.91</v>
      </c>
      <c r="H9" t="s">
        <v>402</v>
      </c>
      <c r="R9" s="8" t="s">
        <v>401</v>
      </c>
      <c r="S9" s="28"/>
      <c r="T9" s="28"/>
      <c r="U9" s="28"/>
      <c r="V9" s="28"/>
      <c r="W9" s="4">
        <v>6</v>
      </c>
      <c r="X9" s="4">
        <v>195.45</v>
      </c>
      <c r="Y9" s="9" t="s">
        <v>402</v>
      </c>
      <c r="AI9" s="28"/>
      <c r="AJ9" s="25"/>
      <c r="AK9" s="25"/>
      <c r="AL9" s="4">
        <v>6</v>
      </c>
      <c r="AM9" s="16">
        <v>195.45</v>
      </c>
      <c r="AN9" s="30"/>
      <c r="AP9" s="28"/>
      <c r="AQ9" s="28"/>
      <c r="AR9" s="28"/>
      <c r="AS9" s="4">
        <v>6</v>
      </c>
      <c r="AT9" s="4">
        <v>42.82</v>
      </c>
      <c r="AU9" s="30"/>
      <c r="AW9" s="28"/>
      <c r="AX9" s="28"/>
      <c r="AY9" s="28"/>
      <c r="AZ9" s="4">
        <v>6</v>
      </c>
      <c r="BA9" s="4">
        <v>24.58</v>
      </c>
      <c r="BB9" s="30"/>
      <c r="BD9" s="28"/>
      <c r="BE9" s="30"/>
      <c r="BF9" s="30"/>
      <c r="BG9" s="3">
        <v>6</v>
      </c>
      <c r="BH9" s="15">
        <v>881.16</v>
      </c>
      <c r="BI9" s="30"/>
      <c r="BK9" s="28"/>
      <c r="BL9" s="28"/>
      <c r="BM9" s="28"/>
      <c r="BN9" s="28"/>
      <c r="BO9" s="4">
        <v>6</v>
      </c>
      <c r="BP9" s="4">
        <v>31.94</v>
      </c>
      <c r="BQ9" s="30"/>
    </row>
    <row r="10" spans="1:70" x14ac:dyDescent="0.25">
      <c r="A10" t="s">
        <v>401</v>
      </c>
      <c r="B10" t="s">
        <v>406</v>
      </c>
      <c r="C10" t="s">
        <v>389</v>
      </c>
      <c r="D10">
        <v>78.53</v>
      </c>
      <c r="E10">
        <v>1103.55</v>
      </c>
      <c r="F10">
        <v>9</v>
      </c>
      <c r="G10">
        <v>193.27</v>
      </c>
      <c r="H10" t="s">
        <v>402</v>
      </c>
      <c r="R10" s="6" t="s">
        <v>401</v>
      </c>
      <c r="S10" s="28"/>
      <c r="T10" s="28"/>
      <c r="U10" s="28"/>
      <c r="V10" s="28"/>
      <c r="W10" s="3">
        <v>7</v>
      </c>
      <c r="X10" s="3">
        <v>192.41</v>
      </c>
      <c r="Y10" s="7" t="s">
        <v>402</v>
      </c>
      <c r="AI10" s="28"/>
      <c r="AJ10" s="25"/>
      <c r="AK10" s="25"/>
      <c r="AL10" s="3">
        <v>7</v>
      </c>
      <c r="AM10" s="15">
        <v>192.41</v>
      </c>
      <c r="AN10" s="30"/>
      <c r="AP10" s="28"/>
      <c r="AQ10" s="28"/>
      <c r="AR10" s="28"/>
      <c r="AS10" s="3">
        <v>7</v>
      </c>
      <c r="AT10" s="3">
        <v>37.81</v>
      </c>
      <c r="AU10" s="30"/>
      <c r="AW10" s="28"/>
      <c r="AX10" s="28"/>
      <c r="AY10" s="28"/>
      <c r="AZ10" s="3">
        <v>7</v>
      </c>
      <c r="BA10" s="3">
        <v>23.62</v>
      </c>
      <c r="BB10" s="30"/>
      <c r="BD10" s="28"/>
      <c r="BE10" s="30"/>
      <c r="BF10" s="30"/>
      <c r="BG10" s="4">
        <v>7</v>
      </c>
      <c r="BH10" s="16">
        <v>874.3</v>
      </c>
      <c r="BI10" s="30"/>
      <c r="BK10" s="28"/>
      <c r="BL10" s="28"/>
      <c r="BM10" s="28"/>
      <c r="BN10" s="28"/>
      <c r="BO10" s="3">
        <v>7</v>
      </c>
      <c r="BP10" s="3">
        <v>27.92</v>
      </c>
      <c r="BQ10" s="30"/>
    </row>
    <row r="11" spans="1:70" x14ac:dyDescent="0.25">
      <c r="A11" t="s">
        <v>401</v>
      </c>
      <c r="B11" t="s">
        <v>406</v>
      </c>
      <c r="C11" t="s">
        <v>389</v>
      </c>
      <c r="D11">
        <v>78.53</v>
      </c>
      <c r="E11">
        <v>1103.55</v>
      </c>
      <c r="F11">
        <v>10</v>
      </c>
      <c r="G11">
        <v>200.55</v>
      </c>
      <c r="H11" t="s">
        <v>402</v>
      </c>
      <c r="R11" s="8" t="s">
        <v>401</v>
      </c>
      <c r="S11" s="28"/>
      <c r="T11" s="28"/>
      <c r="U11" s="28"/>
      <c r="V11" s="28"/>
      <c r="W11" s="4">
        <v>8</v>
      </c>
      <c r="X11" s="4">
        <v>187.91</v>
      </c>
      <c r="Y11" s="9" t="s">
        <v>402</v>
      </c>
      <c r="AI11" s="28"/>
      <c r="AJ11" s="25"/>
      <c r="AK11" s="25"/>
      <c r="AL11" s="4">
        <v>8</v>
      </c>
      <c r="AM11" s="16">
        <v>187.91</v>
      </c>
      <c r="AN11" s="30"/>
      <c r="AP11" s="28"/>
      <c r="AQ11" s="28"/>
      <c r="AR11" s="28"/>
      <c r="AS11" s="4">
        <v>8</v>
      </c>
      <c r="AT11" s="4">
        <v>44.29</v>
      </c>
      <c r="AU11" s="30"/>
      <c r="AW11" s="28"/>
      <c r="AX11" s="28"/>
      <c r="AY11" s="28"/>
      <c r="AZ11" s="4">
        <v>8</v>
      </c>
      <c r="BA11" s="4">
        <v>22.42</v>
      </c>
      <c r="BB11" s="30"/>
      <c r="BD11" s="28"/>
      <c r="BE11" s="30"/>
      <c r="BF11" s="30"/>
      <c r="BG11" s="3">
        <v>8</v>
      </c>
      <c r="BH11" s="15">
        <v>867.15</v>
      </c>
      <c r="BI11" s="30"/>
      <c r="BK11" s="28"/>
      <c r="BL11" s="28"/>
      <c r="BM11" s="28"/>
      <c r="BN11" s="28"/>
      <c r="BO11" s="4">
        <v>8</v>
      </c>
      <c r="BP11" s="4">
        <v>30.18</v>
      </c>
      <c r="BQ11" s="30"/>
    </row>
    <row r="12" spans="1:70" x14ac:dyDescent="0.25">
      <c r="A12" t="s">
        <v>401</v>
      </c>
      <c r="B12" t="s">
        <v>406</v>
      </c>
      <c r="C12" t="s">
        <v>390</v>
      </c>
      <c r="D12">
        <v>22.32</v>
      </c>
      <c r="E12">
        <v>997.05</v>
      </c>
      <c r="F12">
        <v>1</v>
      </c>
      <c r="G12">
        <v>1173.8399999999999</v>
      </c>
      <c r="H12" t="s">
        <v>402</v>
      </c>
      <c r="R12" s="6" t="s">
        <v>401</v>
      </c>
      <c r="S12" s="28"/>
      <c r="T12" s="28"/>
      <c r="U12" s="28"/>
      <c r="V12" s="28"/>
      <c r="W12" s="3">
        <v>9</v>
      </c>
      <c r="X12" s="3">
        <v>193.27</v>
      </c>
      <c r="Y12" s="7" t="s">
        <v>402</v>
      </c>
      <c r="AI12" s="28"/>
      <c r="AJ12" s="25"/>
      <c r="AK12" s="25"/>
      <c r="AL12" s="3">
        <v>9</v>
      </c>
      <c r="AM12" s="15">
        <v>193.27</v>
      </c>
      <c r="AN12" s="30"/>
      <c r="AP12" s="28"/>
      <c r="AQ12" s="28"/>
      <c r="AR12" s="28"/>
      <c r="AS12" s="3">
        <v>9</v>
      </c>
      <c r="AT12" s="3">
        <v>32.72</v>
      </c>
      <c r="AU12" s="30"/>
      <c r="AW12" s="28"/>
      <c r="AX12" s="28"/>
      <c r="AY12" s="28"/>
      <c r="AZ12" s="3">
        <v>9</v>
      </c>
      <c r="BA12" s="3">
        <v>25.15</v>
      </c>
      <c r="BB12" s="30"/>
      <c r="BD12" s="28"/>
      <c r="BE12" s="30"/>
      <c r="BF12" s="30"/>
      <c r="BG12" s="4">
        <v>9</v>
      </c>
      <c r="BH12" s="16">
        <v>870.87</v>
      </c>
      <c r="BI12" s="30"/>
      <c r="BK12" s="28"/>
      <c r="BL12" s="28"/>
      <c r="BM12" s="28"/>
      <c r="BN12" s="28"/>
      <c r="BO12" s="3">
        <v>9</v>
      </c>
      <c r="BP12" s="3">
        <v>27.66</v>
      </c>
      <c r="BQ12" s="30"/>
    </row>
    <row r="13" spans="1:70" x14ac:dyDescent="0.25">
      <c r="A13" t="s">
        <v>401</v>
      </c>
      <c r="B13" t="s">
        <v>406</v>
      </c>
      <c r="C13" t="s">
        <v>390</v>
      </c>
      <c r="D13">
        <v>22.32</v>
      </c>
      <c r="E13">
        <v>997.05</v>
      </c>
      <c r="F13">
        <v>2</v>
      </c>
      <c r="G13">
        <v>41.88</v>
      </c>
      <c r="H13" t="s">
        <v>402</v>
      </c>
      <c r="R13" s="8" t="s">
        <v>401</v>
      </c>
      <c r="S13" s="29"/>
      <c r="T13" s="29"/>
      <c r="U13" s="29"/>
      <c r="V13" s="29"/>
      <c r="W13" s="4">
        <v>10</v>
      </c>
      <c r="X13" s="4">
        <v>200.55</v>
      </c>
      <c r="Y13" s="9" t="s">
        <v>402</v>
      </c>
      <c r="AI13" s="29"/>
      <c r="AJ13" s="26"/>
      <c r="AK13" s="26"/>
      <c r="AL13" s="4">
        <v>10</v>
      </c>
      <c r="AM13" s="16">
        <v>200.55</v>
      </c>
      <c r="AN13" s="30"/>
      <c r="AP13" s="29"/>
      <c r="AQ13" s="29"/>
      <c r="AR13" s="29"/>
      <c r="AS13" s="4">
        <v>10</v>
      </c>
      <c r="AT13" s="4">
        <v>31.81</v>
      </c>
      <c r="AU13" s="30"/>
      <c r="AW13" s="29"/>
      <c r="AX13" s="29"/>
      <c r="AY13" s="29"/>
      <c r="AZ13" s="4">
        <v>10</v>
      </c>
      <c r="BA13" s="4">
        <v>27.61</v>
      </c>
      <c r="BB13" s="30"/>
      <c r="BD13" s="29"/>
      <c r="BE13" s="32"/>
      <c r="BF13" s="32"/>
      <c r="BG13" s="3">
        <v>10</v>
      </c>
      <c r="BH13" s="15">
        <v>902.97</v>
      </c>
      <c r="BI13" s="30"/>
      <c r="BK13" s="29"/>
      <c r="BL13" s="29"/>
      <c r="BM13" s="29"/>
      <c r="BN13" s="29"/>
      <c r="BO13" s="4">
        <v>10</v>
      </c>
      <c r="BP13" s="4">
        <v>29.2</v>
      </c>
      <c r="BQ13" s="30"/>
    </row>
    <row r="14" spans="1:70" x14ac:dyDescent="0.25">
      <c r="A14" t="s">
        <v>401</v>
      </c>
      <c r="B14" t="s">
        <v>406</v>
      </c>
      <c r="C14" t="s">
        <v>390</v>
      </c>
      <c r="D14">
        <v>22.32</v>
      </c>
      <c r="E14">
        <v>997.05</v>
      </c>
      <c r="F14">
        <v>3</v>
      </c>
      <c r="G14">
        <v>44.95</v>
      </c>
      <c r="H14" t="s">
        <v>402</v>
      </c>
      <c r="R14" s="6" t="s">
        <v>401</v>
      </c>
      <c r="S14" s="27" t="s">
        <v>406</v>
      </c>
      <c r="T14" s="27" t="s">
        <v>390</v>
      </c>
      <c r="U14" s="27">
        <v>22.32</v>
      </c>
      <c r="V14" s="27">
        <v>997.05</v>
      </c>
      <c r="W14" s="3">
        <v>1</v>
      </c>
      <c r="X14" s="3">
        <v>1173.8399999999999</v>
      </c>
      <c r="Y14" s="7" t="s">
        <v>402</v>
      </c>
      <c r="AI14" s="27" t="s">
        <v>385</v>
      </c>
      <c r="AJ14" s="27">
        <v>194.15</v>
      </c>
      <c r="AK14" s="27">
        <v>3117.9</v>
      </c>
      <c r="AL14" s="3">
        <v>1</v>
      </c>
      <c r="AM14" s="15">
        <v>568.34</v>
      </c>
      <c r="AN14" s="30">
        <f t="shared" ref="AN14" si="0">SLOPE(AM14:AM23,AL14:AL23)</f>
        <v>-32.287696969696974</v>
      </c>
      <c r="AO14">
        <v>-32.287696969696974</v>
      </c>
      <c r="AP14" s="27" t="s">
        <v>385</v>
      </c>
      <c r="AQ14" s="24" t="s">
        <v>400</v>
      </c>
      <c r="AR14" s="24"/>
      <c r="AS14" s="3"/>
      <c r="AT14" s="3"/>
      <c r="AW14" s="27" t="s">
        <v>385</v>
      </c>
      <c r="AX14" s="31">
        <v>182.99</v>
      </c>
      <c r="AY14" s="31">
        <v>4186.41</v>
      </c>
      <c r="AZ14" s="4">
        <v>1</v>
      </c>
      <c r="BA14" s="4">
        <v>533.88</v>
      </c>
      <c r="BB14" s="30">
        <f>SLOPE(BA14:BA23,AZ14:AZ23)</f>
        <v>-28.429757575757574</v>
      </c>
      <c r="BC14">
        <v>-28.429757575757574</v>
      </c>
      <c r="BD14" s="27" t="s">
        <v>408</v>
      </c>
      <c r="BE14" s="27">
        <v>0.42</v>
      </c>
      <c r="BF14" s="27">
        <v>771.58</v>
      </c>
      <c r="BG14" s="3">
        <v>1</v>
      </c>
      <c r="BH14" s="15">
        <v>445.26</v>
      </c>
      <c r="BI14" s="30">
        <f>SLOPE(BH14:BH23,BG14:BG23)</f>
        <v>-19.440727272727273</v>
      </c>
      <c r="BJ14">
        <v>-19.440727272727273</v>
      </c>
      <c r="BK14" s="27" t="s">
        <v>388</v>
      </c>
      <c r="BL14" s="27" t="s">
        <v>394</v>
      </c>
      <c r="BM14" s="27">
        <v>0.3</v>
      </c>
      <c r="BN14" s="27">
        <v>311.14999999999998</v>
      </c>
      <c r="BO14" s="3">
        <v>1</v>
      </c>
      <c r="BP14" s="3">
        <v>30.8</v>
      </c>
      <c r="BQ14" s="30">
        <f>SLOPE(BP14:BP23,BO14:BO23)</f>
        <v>-0.35909090909090902</v>
      </c>
      <c r="BR14">
        <v>-0.35909090909090902</v>
      </c>
    </row>
    <row r="15" spans="1:70" x14ac:dyDescent="0.25">
      <c r="A15" t="s">
        <v>401</v>
      </c>
      <c r="B15" t="s">
        <v>406</v>
      </c>
      <c r="C15" t="s">
        <v>390</v>
      </c>
      <c r="D15">
        <v>22.32</v>
      </c>
      <c r="E15">
        <v>997.05</v>
      </c>
      <c r="F15">
        <v>4</v>
      </c>
      <c r="G15">
        <v>36.950000000000003</v>
      </c>
      <c r="H15" t="s">
        <v>402</v>
      </c>
      <c r="R15" s="8" t="s">
        <v>401</v>
      </c>
      <c r="S15" s="28"/>
      <c r="T15" s="28"/>
      <c r="U15" s="28"/>
      <c r="V15" s="28"/>
      <c r="W15" s="4">
        <v>2</v>
      </c>
      <c r="X15" s="4">
        <v>41.88</v>
      </c>
      <c r="Y15" s="9" t="s">
        <v>402</v>
      </c>
      <c r="AI15" s="28"/>
      <c r="AJ15" s="28"/>
      <c r="AK15" s="28"/>
      <c r="AL15" s="4">
        <v>2</v>
      </c>
      <c r="AM15" s="16">
        <v>234.47</v>
      </c>
      <c r="AN15" s="30"/>
      <c r="AP15" s="28"/>
      <c r="AQ15" s="25"/>
      <c r="AR15" s="25"/>
      <c r="AS15" s="4"/>
      <c r="AT15" s="4"/>
      <c r="AW15" s="28"/>
      <c r="AX15" s="30"/>
      <c r="AY15" s="30"/>
      <c r="AZ15" s="3">
        <v>2</v>
      </c>
      <c r="BA15" s="3">
        <v>42.35</v>
      </c>
      <c r="BB15" s="30"/>
      <c r="BD15" s="28"/>
      <c r="BE15" s="28"/>
      <c r="BF15" s="28"/>
      <c r="BG15" s="4">
        <v>2</v>
      </c>
      <c r="BH15" s="16">
        <v>100.58</v>
      </c>
      <c r="BI15" s="30"/>
      <c r="BK15" s="28"/>
      <c r="BL15" s="28"/>
      <c r="BM15" s="28"/>
      <c r="BN15" s="28"/>
      <c r="BO15" s="4">
        <v>2</v>
      </c>
      <c r="BP15" s="4">
        <v>25.18</v>
      </c>
      <c r="BQ15" s="30"/>
    </row>
    <row r="16" spans="1:70" x14ac:dyDescent="0.25">
      <c r="A16" t="s">
        <v>401</v>
      </c>
      <c r="B16" t="s">
        <v>406</v>
      </c>
      <c r="C16" t="s">
        <v>390</v>
      </c>
      <c r="D16">
        <v>22.32</v>
      </c>
      <c r="E16">
        <v>997.05</v>
      </c>
      <c r="F16">
        <v>5</v>
      </c>
      <c r="G16">
        <v>41.2</v>
      </c>
      <c r="H16" t="s">
        <v>402</v>
      </c>
      <c r="R16" s="6" t="s">
        <v>401</v>
      </c>
      <c r="S16" s="28"/>
      <c r="T16" s="28"/>
      <c r="U16" s="28"/>
      <c r="V16" s="28"/>
      <c r="W16" s="3">
        <v>3</v>
      </c>
      <c r="X16" s="3">
        <v>44.95</v>
      </c>
      <c r="Y16" s="7" t="s">
        <v>402</v>
      </c>
      <c r="AI16" s="28"/>
      <c r="AJ16" s="28"/>
      <c r="AK16" s="28"/>
      <c r="AL16" s="3">
        <v>3</v>
      </c>
      <c r="AM16" s="15">
        <v>160.27000000000001</v>
      </c>
      <c r="AN16" s="30"/>
      <c r="AP16" s="28"/>
      <c r="AQ16" s="25"/>
      <c r="AR16" s="25"/>
      <c r="AS16" s="3"/>
      <c r="AT16" s="3"/>
      <c r="AW16" s="28"/>
      <c r="AX16" s="30"/>
      <c r="AY16" s="30"/>
      <c r="AZ16" s="4">
        <v>3</v>
      </c>
      <c r="BA16" s="4">
        <v>41.8</v>
      </c>
      <c r="BB16" s="30"/>
      <c r="BD16" s="28"/>
      <c r="BE16" s="28"/>
      <c r="BF16" s="28"/>
      <c r="BG16" s="3">
        <v>3</v>
      </c>
      <c r="BH16" s="15">
        <v>132.21</v>
      </c>
      <c r="BI16" s="30"/>
      <c r="BK16" s="28"/>
      <c r="BL16" s="28"/>
      <c r="BM16" s="28"/>
      <c r="BN16" s="28"/>
      <c r="BO16" s="3">
        <v>3</v>
      </c>
      <c r="BP16" s="3">
        <v>25.13</v>
      </c>
      <c r="BQ16" s="30"/>
    </row>
    <row r="17" spans="1:69" x14ac:dyDescent="0.25">
      <c r="A17" t="s">
        <v>401</v>
      </c>
      <c r="B17" t="s">
        <v>406</v>
      </c>
      <c r="C17" t="s">
        <v>390</v>
      </c>
      <c r="D17">
        <v>22.32</v>
      </c>
      <c r="E17">
        <v>997.05</v>
      </c>
      <c r="F17">
        <v>6</v>
      </c>
      <c r="G17">
        <v>42.82</v>
      </c>
      <c r="H17" t="s">
        <v>402</v>
      </c>
      <c r="R17" s="8" t="s">
        <v>401</v>
      </c>
      <c r="S17" s="28"/>
      <c r="T17" s="28"/>
      <c r="U17" s="28"/>
      <c r="V17" s="28"/>
      <c r="W17" s="4">
        <v>4</v>
      </c>
      <c r="X17" s="4">
        <v>36.950000000000003</v>
      </c>
      <c r="Y17" s="9" t="s">
        <v>402</v>
      </c>
      <c r="AI17" s="28"/>
      <c r="AJ17" s="28"/>
      <c r="AK17" s="28"/>
      <c r="AL17" s="4">
        <v>4</v>
      </c>
      <c r="AM17" s="16">
        <v>133.05000000000001</v>
      </c>
      <c r="AN17" s="30"/>
      <c r="AP17" s="28"/>
      <c r="AQ17" s="25"/>
      <c r="AR17" s="25"/>
      <c r="AS17" s="4"/>
      <c r="AT17" s="4"/>
      <c r="AW17" s="28"/>
      <c r="AX17" s="30"/>
      <c r="AY17" s="30"/>
      <c r="AZ17" s="3">
        <v>4</v>
      </c>
      <c r="BA17" s="3">
        <v>37.39</v>
      </c>
      <c r="BB17" s="30"/>
      <c r="BD17" s="28"/>
      <c r="BE17" s="28"/>
      <c r="BF17" s="28"/>
      <c r="BG17" s="4">
        <v>4</v>
      </c>
      <c r="BH17" s="16">
        <v>97.21</v>
      </c>
      <c r="BI17" s="30"/>
      <c r="BK17" s="28"/>
      <c r="BL17" s="28"/>
      <c r="BM17" s="28"/>
      <c r="BN17" s="28"/>
      <c r="BO17" s="4">
        <v>4</v>
      </c>
      <c r="BP17" s="4">
        <v>24.2</v>
      </c>
      <c r="BQ17" s="30"/>
    </row>
    <row r="18" spans="1:69" x14ac:dyDescent="0.25">
      <c r="A18" t="s">
        <v>401</v>
      </c>
      <c r="B18" t="s">
        <v>406</v>
      </c>
      <c r="C18" t="s">
        <v>390</v>
      </c>
      <c r="D18">
        <v>22.32</v>
      </c>
      <c r="E18">
        <v>997.05</v>
      </c>
      <c r="F18">
        <v>7</v>
      </c>
      <c r="G18">
        <v>37.81</v>
      </c>
      <c r="H18" t="s">
        <v>402</v>
      </c>
      <c r="R18" s="6" t="s">
        <v>401</v>
      </c>
      <c r="S18" s="28"/>
      <c r="T18" s="28"/>
      <c r="U18" s="28"/>
      <c r="V18" s="28"/>
      <c r="W18" s="3">
        <v>5</v>
      </c>
      <c r="X18" s="3">
        <v>41.2</v>
      </c>
      <c r="Y18" s="7" t="s">
        <v>402</v>
      </c>
      <c r="AI18" s="28"/>
      <c r="AJ18" s="28"/>
      <c r="AK18" s="28"/>
      <c r="AL18" s="3">
        <v>5</v>
      </c>
      <c r="AM18" s="15">
        <v>120.14</v>
      </c>
      <c r="AN18" s="30"/>
      <c r="AP18" s="28"/>
      <c r="AQ18" s="25"/>
      <c r="AR18" s="25"/>
      <c r="AS18" s="3"/>
      <c r="AT18" s="3"/>
      <c r="AW18" s="28"/>
      <c r="AX18" s="30"/>
      <c r="AY18" s="30"/>
      <c r="AZ18" s="4">
        <v>5</v>
      </c>
      <c r="BA18" s="4">
        <v>34.57</v>
      </c>
      <c r="BB18" s="30"/>
      <c r="BD18" s="28"/>
      <c r="BE18" s="28"/>
      <c r="BF18" s="28"/>
      <c r="BG18" s="3">
        <v>5</v>
      </c>
      <c r="BH18" s="15">
        <v>95.05</v>
      </c>
      <c r="BI18" s="30"/>
      <c r="BK18" s="28"/>
      <c r="BL18" s="28"/>
      <c r="BM18" s="28"/>
      <c r="BN18" s="28"/>
      <c r="BO18" s="3">
        <v>5</v>
      </c>
      <c r="BP18" s="3">
        <v>24.4</v>
      </c>
      <c r="BQ18" s="30"/>
    </row>
    <row r="19" spans="1:69" x14ac:dyDescent="0.25">
      <c r="A19" t="s">
        <v>401</v>
      </c>
      <c r="B19" t="s">
        <v>406</v>
      </c>
      <c r="C19" t="s">
        <v>390</v>
      </c>
      <c r="D19">
        <v>22.32</v>
      </c>
      <c r="E19">
        <v>997.05</v>
      </c>
      <c r="F19">
        <v>8</v>
      </c>
      <c r="G19">
        <v>44.29</v>
      </c>
      <c r="H19" t="s">
        <v>402</v>
      </c>
      <c r="R19" s="8" t="s">
        <v>401</v>
      </c>
      <c r="S19" s="28"/>
      <c r="T19" s="28"/>
      <c r="U19" s="28"/>
      <c r="V19" s="28"/>
      <c r="W19" s="4">
        <v>6</v>
      </c>
      <c r="X19" s="4">
        <v>42.82</v>
      </c>
      <c r="Y19" s="9" t="s">
        <v>402</v>
      </c>
      <c r="AI19" s="28"/>
      <c r="AJ19" s="28"/>
      <c r="AK19" s="28"/>
      <c r="AL19" s="4">
        <v>6</v>
      </c>
      <c r="AM19" s="16">
        <v>118.37</v>
      </c>
      <c r="AN19" s="30"/>
      <c r="AP19" s="28"/>
      <c r="AQ19" s="25"/>
      <c r="AR19" s="25"/>
      <c r="AS19" s="4"/>
      <c r="AT19" s="4"/>
      <c r="AW19" s="28"/>
      <c r="AX19" s="30"/>
      <c r="AY19" s="30"/>
      <c r="AZ19" s="3">
        <v>6</v>
      </c>
      <c r="BA19" s="3">
        <v>31.21</v>
      </c>
      <c r="BB19" s="30"/>
      <c r="BD19" s="28"/>
      <c r="BE19" s="28"/>
      <c r="BF19" s="28"/>
      <c r="BG19" s="4">
        <v>6</v>
      </c>
      <c r="BH19" s="16">
        <v>99.27</v>
      </c>
      <c r="BI19" s="30"/>
      <c r="BK19" s="28"/>
      <c r="BL19" s="28"/>
      <c r="BM19" s="28"/>
      <c r="BN19" s="28"/>
      <c r="BO19" s="4">
        <v>6</v>
      </c>
      <c r="BP19" s="4">
        <v>24.88</v>
      </c>
      <c r="BQ19" s="30"/>
    </row>
    <row r="20" spans="1:69" x14ac:dyDescent="0.25">
      <c r="A20" t="s">
        <v>401</v>
      </c>
      <c r="B20" t="s">
        <v>406</v>
      </c>
      <c r="C20" t="s">
        <v>390</v>
      </c>
      <c r="D20">
        <v>22.32</v>
      </c>
      <c r="E20">
        <v>997.05</v>
      </c>
      <c r="F20">
        <v>9</v>
      </c>
      <c r="G20">
        <v>32.72</v>
      </c>
      <c r="H20" t="s">
        <v>402</v>
      </c>
      <c r="R20" s="6" t="s">
        <v>401</v>
      </c>
      <c r="S20" s="28"/>
      <c r="T20" s="28"/>
      <c r="U20" s="28"/>
      <c r="V20" s="28"/>
      <c r="W20" s="3">
        <v>7</v>
      </c>
      <c r="X20" s="3">
        <v>37.81</v>
      </c>
      <c r="Y20" s="7" t="s">
        <v>402</v>
      </c>
      <c r="AI20" s="28"/>
      <c r="AJ20" s="28"/>
      <c r="AK20" s="28"/>
      <c r="AL20" s="3">
        <v>7</v>
      </c>
      <c r="AM20" s="15">
        <v>133.24</v>
      </c>
      <c r="AN20" s="30"/>
      <c r="AP20" s="28"/>
      <c r="AQ20" s="25"/>
      <c r="AR20" s="25"/>
      <c r="AS20" s="3"/>
      <c r="AT20" s="3"/>
      <c r="AW20" s="28"/>
      <c r="AX20" s="30"/>
      <c r="AY20" s="30"/>
      <c r="AZ20" s="4">
        <v>7</v>
      </c>
      <c r="BA20" s="4">
        <v>30.98</v>
      </c>
      <c r="BB20" s="30"/>
      <c r="BD20" s="28"/>
      <c r="BE20" s="28"/>
      <c r="BF20" s="28"/>
      <c r="BG20" s="3">
        <v>7</v>
      </c>
      <c r="BH20" s="15">
        <v>100.39</v>
      </c>
      <c r="BI20" s="30"/>
      <c r="BK20" s="28"/>
      <c r="BL20" s="28"/>
      <c r="BM20" s="28"/>
      <c r="BN20" s="28"/>
      <c r="BO20" s="3">
        <v>7</v>
      </c>
      <c r="BP20" s="3">
        <v>24.34</v>
      </c>
      <c r="BQ20" s="30"/>
    </row>
    <row r="21" spans="1:69" x14ac:dyDescent="0.25">
      <c r="A21" t="s">
        <v>401</v>
      </c>
      <c r="B21" t="s">
        <v>406</v>
      </c>
      <c r="C21" t="s">
        <v>390</v>
      </c>
      <c r="D21">
        <v>22.32</v>
      </c>
      <c r="E21">
        <v>997.05</v>
      </c>
      <c r="F21">
        <v>10</v>
      </c>
      <c r="G21">
        <v>31.81</v>
      </c>
      <c r="H21" t="s">
        <v>402</v>
      </c>
      <c r="R21" s="8" t="s">
        <v>401</v>
      </c>
      <c r="S21" s="28"/>
      <c r="T21" s="28"/>
      <c r="U21" s="28"/>
      <c r="V21" s="28"/>
      <c r="W21" s="4">
        <v>8</v>
      </c>
      <c r="X21" s="4">
        <v>44.29</v>
      </c>
      <c r="Y21" s="9" t="s">
        <v>402</v>
      </c>
      <c r="AI21" s="28"/>
      <c r="AJ21" s="28"/>
      <c r="AK21" s="28"/>
      <c r="AL21" s="4">
        <v>8</v>
      </c>
      <c r="AM21" s="16">
        <v>119.24</v>
      </c>
      <c r="AN21" s="30"/>
      <c r="AP21" s="28"/>
      <c r="AQ21" s="25"/>
      <c r="AR21" s="25"/>
      <c r="AS21" s="4"/>
      <c r="AT21" s="4"/>
      <c r="AW21" s="28"/>
      <c r="AX21" s="30"/>
      <c r="AY21" s="30"/>
      <c r="AZ21" s="3">
        <v>8</v>
      </c>
      <c r="BA21" s="3">
        <v>29.24</v>
      </c>
      <c r="BB21" s="30"/>
      <c r="BD21" s="28"/>
      <c r="BE21" s="28"/>
      <c r="BF21" s="28"/>
      <c r="BG21" s="4">
        <v>8</v>
      </c>
      <c r="BH21" s="16">
        <v>102.23</v>
      </c>
      <c r="BI21" s="30"/>
      <c r="BK21" s="28"/>
      <c r="BL21" s="28"/>
      <c r="BM21" s="28"/>
      <c r="BN21" s="28"/>
      <c r="BO21" s="4">
        <v>8</v>
      </c>
      <c r="BP21" s="4">
        <v>24.48</v>
      </c>
      <c r="BQ21" s="30"/>
    </row>
    <row r="22" spans="1:69" x14ac:dyDescent="0.25">
      <c r="A22" t="s">
        <v>401</v>
      </c>
      <c r="B22" t="s">
        <v>406</v>
      </c>
      <c r="C22" t="s">
        <v>391</v>
      </c>
      <c r="D22">
        <v>113.42</v>
      </c>
      <c r="E22">
        <v>999.27</v>
      </c>
      <c r="F22">
        <v>1</v>
      </c>
      <c r="G22">
        <v>625.39</v>
      </c>
      <c r="H22" t="s">
        <v>402</v>
      </c>
      <c r="R22" s="6" t="s">
        <v>401</v>
      </c>
      <c r="S22" s="28"/>
      <c r="T22" s="28"/>
      <c r="U22" s="28"/>
      <c r="V22" s="28"/>
      <c r="W22" s="3">
        <v>9</v>
      </c>
      <c r="X22" s="3">
        <v>32.72</v>
      </c>
      <c r="Y22" s="7" t="s">
        <v>402</v>
      </c>
      <c r="AI22" s="28"/>
      <c r="AJ22" s="28"/>
      <c r="AK22" s="28"/>
      <c r="AL22" s="3">
        <v>9</v>
      </c>
      <c r="AM22" s="15">
        <v>114.56</v>
      </c>
      <c r="AN22" s="30"/>
      <c r="AP22" s="28"/>
      <c r="AQ22" s="25"/>
      <c r="AR22" s="25"/>
      <c r="AS22" s="3"/>
      <c r="AT22" s="3"/>
      <c r="AW22" s="28"/>
      <c r="AX22" s="30"/>
      <c r="AY22" s="30"/>
      <c r="AZ22" s="4">
        <v>9</v>
      </c>
      <c r="BA22" s="4">
        <v>31.48</v>
      </c>
      <c r="BB22" s="30"/>
      <c r="BD22" s="28"/>
      <c r="BE22" s="28"/>
      <c r="BF22" s="28"/>
      <c r="BG22" s="3">
        <v>9</v>
      </c>
      <c r="BH22" s="15">
        <v>95.93</v>
      </c>
      <c r="BI22" s="30"/>
      <c r="BK22" s="28"/>
      <c r="BL22" s="28"/>
      <c r="BM22" s="28"/>
      <c r="BN22" s="28"/>
      <c r="BO22" s="3">
        <v>9</v>
      </c>
      <c r="BP22" s="3">
        <v>25.73</v>
      </c>
      <c r="BQ22" s="30"/>
    </row>
    <row r="23" spans="1:69" x14ac:dyDescent="0.25">
      <c r="A23" t="s">
        <v>401</v>
      </c>
      <c r="B23" t="s">
        <v>406</v>
      </c>
      <c r="C23" t="s">
        <v>391</v>
      </c>
      <c r="D23">
        <v>113.42</v>
      </c>
      <c r="E23">
        <v>999.27</v>
      </c>
      <c r="F23">
        <v>2</v>
      </c>
      <c r="G23">
        <v>33.869999999999997</v>
      </c>
      <c r="H23" t="s">
        <v>402</v>
      </c>
      <c r="R23" s="8" t="s">
        <v>401</v>
      </c>
      <c r="S23" s="29"/>
      <c r="T23" s="29"/>
      <c r="U23" s="29"/>
      <c r="V23" s="29"/>
      <c r="W23" s="4">
        <v>10</v>
      </c>
      <c r="X23" s="4">
        <v>31.81</v>
      </c>
      <c r="Y23" s="9" t="s">
        <v>402</v>
      </c>
      <c r="AI23" s="29"/>
      <c r="AJ23" s="29"/>
      <c r="AK23" s="29"/>
      <c r="AL23" s="4">
        <v>10</v>
      </c>
      <c r="AM23" s="16">
        <v>92.59</v>
      </c>
      <c r="AN23" s="30"/>
      <c r="AP23" s="29"/>
      <c r="AQ23" s="26"/>
      <c r="AR23" s="26"/>
      <c r="AS23" s="4"/>
      <c r="AT23" s="4"/>
      <c r="AW23" s="29"/>
      <c r="AX23" s="32"/>
      <c r="AY23" s="32"/>
      <c r="AZ23" s="3">
        <v>10</v>
      </c>
      <c r="BA23" s="3">
        <v>30.61</v>
      </c>
      <c r="BB23" s="30"/>
      <c r="BD23" s="29"/>
      <c r="BE23" s="29"/>
      <c r="BF23" s="29"/>
      <c r="BG23" s="4">
        <v>10</v>
      </c>
      <c r="BH23" s="16">
        <v>107.59</v>
      </c>
      <c r="BI23" s="30"/>
      <c r="BK23" s="29"/>
      <c r="BL23" s="29"/>
      <c r="BM23" s="29"/>
      <c r="BN23" s="29"/>
      <c r="BO23" s="4">
        <v>10</v>
      </c>
      <c r="BP23" s="4">
        <v>24.05</v>
      </c>
      <c r="BQ23" s="30"/>
    </row>
    <row r="24" spans="1:69" x14ac:dyDescent="0.25">
      <c r="A24" t="s">
        <v>401</v>
      </c>
      <c r="B24" t="s">
        <v>406</v>
      </c>
      <c r="C24" t="s">
        <v>391</v>
      </c>
      <c r="D24">
        <v>113.42</v>
      </c>
      <c r="E24">
        <v>999.27</v>
      </c>
      <c r="F24">
        <v>3</v>
      </c>
      <c r="G24">
        <v>26.51</v>
      </c>
      <c r="H24" t="s">
        <v>402</v>
      </c>
      <c r="R24" s="6" t="s">
        <v>401</v>
      </c>
      <c r="S24" s="27" t="s">
        <v>406</v>
      </c>
      <c r="T24" s="27" t="s">
        <v>391</v>
      </c>
      <c r="U24" s="27">
        <v>113.42</v>
      </c>
      <c r="V24" s="27">
        <v>999.27</v>
      </c>
      <c r="W24" s="3">
        <v>1</v>
      </c>
      <c r="X24" s="3">
        <v>625.39</v>
      </c>
      <c r="Y24" s="7" t="s">
        <v>402</v>
      </c>
      <c r="AI24" s="27" t="s">
        <v>409</v>
      </c>
      <c r="AJ24" s="31">
        <v>182.72</v>
      </c>
      <c r="AK24" s="31">
        <v>723.76</v>
      </c>
      <c r="AL24" s="4">
        <v>1</v>
      </c>
      <c r="AM24" s="16">
        <v>209.58</v>
      </c>
      <c r="AN24" s="30">
        <f t="shared" ref="AN24" si="1">SLOPE(AM24:AM33,AL24:AL33)</f>
        <v>-2.2750909090909106</v>
      </c>
      <c r="AO24">
        <v>-2.2750909090909106</v>
      </c>
      <c r="AW24" s="10" t="s">
        <v>409</v>
      </c>
      <c r="AX24" s="13" t="s">
        <v>405</v>
      </c>
      <c r="AY24" s="13" t="s">
        <v>405</v>
      </c>
      <c r="AZ24" s="3" t="s">
        <v>405</v>
      </c>
      <c r="BA24" s="3" t="s">
        <v>405</v>
      </c>
    </row>
    <row r="25" spans="1:69" x14ac:dyDescent="0.25">
      <c r="A25" t="s">
        <v>401</v>
      </c>
      <c r="B25" t="s">
        <v>406</v>
      </c>
      <c r="C25" t="s">
        <v>391</v>
      </c>
      <c r="D25">
        <v>113.42</v>
      </c>
      <c r="E25">
        <v>999.27</v>
      </c>
      <c r="F25">
        <v>4</v>
      </c>
      <c r="G25">
        <v>23.05</v>
      </c>
      <c r="H25" t="s">
        <v>402</v>
      </c>
      <c r="R25" s="8" t="s">
        <v>401</v>
      </c>
      <c r="S25" s="28"/>
      <c r="T25" s="28"/>
      <c r="U25" s="28"/>
      <c r="V25" s="28"/>
      <c r="W25" s="4">
        <v>2</v>
      </c>
      <c r="X25" s="4">
        <v>33.869999999999997</v>
      </c>
      <c r="Y25" s="9" t="s">
        <v>402</v>
      </c>
      <c r="AI25" s="28"/>
      <c r="AJ25" s="30"/>
      <c r="AK25" s="30"/>
      <c r="AL25" s="3">
        <v>2</v>
      </c>
      <c r="AM25" s="15">
        <v>175.72</v>
      </c>
      <c r="AN25" s="30"/>
      <c r="AW25" s="27" t="s">
        <v>408</v>
      </c>
      <c r="AX25" s="27">
        <v>0.3</v>
      </c>
      <c r="AY25" s="27">
        <v>996.55</v>
      </c>
      <c r="AZ25" s="3">
        <v>1</v>
      </c>
      <c r="BA25" s="3">
        <v>519.41999999999996</v>
      </c>
      <c r="BB25" s="30">
        <f>SLOPE(BA25:BA34,AZ25:AZ34)</f>
        <v>-27.009212121212112</v>
      </c>
      <c r="BC25">
        <v>-27.009212121212112</v>
      </c>
    </row>
    <row r="26" spans="1:69" x14ac:dyDescent="0.25">
      <c r="A26" t="s">
        <v>401</v>
      </c>
      <c r="B26" t="s">
        <v>406</v>
      </c>
      <c r="C26" t="s">
        <v>391</v>
      </c>
      <c r="D26">
        <v>113.42</v>
      </c>
      <c r="E26">
        <v>999.27</v>
      </c>
      <c r="F26">
        <v>5</v>
      </c>
      <c r="G26">
        <v>26.34</v>
      </c>
      <c r="H26" t="s">
        <v>402</v>
      </c>
      <c r="R26" s="6" t="s">
        <v>401</v>
      </c>
      <c r="S26" s="28"/>
      <c r="T26" s="28"/>
      <c r="U26" s="28"/>
      <c r="V26" s="28"/>
      <c r="W26" s="3">
        <v>3</v>
      </c>
      <c r="X26" s="3">
        <v>26.51</v>
      </c>
      <c r="Y26" s="7" t="s">
        <v>402</v>
      </c>
      <c r="AI26" s="28"/>
      <c r="AJ26" s="30"/>
      <c r="AK26" s="30"/>
      <c r="AL26" s="4">
        <v>3</v>
      </c>
      <c r="AM26" s="16">
        <v>168.41</v>
      </c>
      <c r="AN26" s="30"/>
      <c r="AW26" s="28"/>
      <c r="AX26" s="28"/>
      <c r="AY26" s="28"/>
      <c r="AZ26" s="4">
        <v>2</v>
      </c>
      <c r="BA26" s="4">
        <v>34.340000000000003</v>
      </c>
      <c r="BB26" s="30"/>
    </row>
    <row r="27" spans="1:69" x14ac:dyDescent="0.25">
      <c r="A27" t="s">
        <v>401</v>
      </c>
      <c r="B27" t="s">
        <v>406</v>
      </c>
      <c r="C27" t="s">
        <v>391</v>
      </c>
      <c r="D27">
        <v>113.42</v>
      </c>
      <c r="E27">
        <v>999.27</v>
      </c>
      <c r="F27">
        <v>6</v>
      </c>
      <c r="G27">
        <v>24.58</v>
      </c>
      <c r="H27" t="s">
        <v>402</v>
      </c>
      <c r="R27" s="8" t="s">
        <v>401</v>
      </c>
      <c r="S27" s="28"/>
      <c r="T27" s="28"/>
      <c r="U27" s="28"/>
      <c r="V27" s="28"/>
      <c r="W27" s="4">
        <v>4</v>
      </c>
      <c r="X27" s="4">
        <v>23.05</v>
      </c>
      <c r="Y27" s="9" t="s">
        <v>402</v>
      </c>
      <c r="AI27" s="28"/>
      <c r="AJ27" s="30"/>
      <c r="AK27" s="30"/>
      <c r="AL27" s="3">
        <v>4</v>
      </c>
      <c r="AM27" s="15">
        <v>171.3</v>
      </c>
      <c r="AN27" s="30"/>
      <c r="AW27" s="28"/>
      <c r="AX27" s="28"/>
      <c r="AY27" s="28"/>
      <c r="AZ27" s="3">
        <v>3</v>
      </c>
      <c r="BA27" s="3">
        <v>29.52</v>
      </c>
      <c r="BB27" s="30"/>
    </row>
    <row r="28" spans="1:69" x14ac:dyDescent="0.25">
      <c r="A28" t="s">
        <v>401</v>
      </c>
      <c r="B28" t="s">
        <v>406</v>
      </c>
      <c r="C28" t="s">
        <v>391</v>
      </c>
      <c r="D28">
        <v>113.42</v>
      </c>
      <c r="E28">
        <v>999.27</v>
      </c>
      <c r="F28">
        <v>7</v>
      </c>
      <c r="G28">
        <v>23.62</v>
      </c>
      <c r="H28" t="s">
        <v>402</v>
      </c>
      <c r="R28" s="6" t="s">
        <v>401</v>
      </c>
      <c r="S28" s="28"/>
      <c r="T28" s="28"/>
      <c r="U28" s="28"/>
      <c r="V28" s="28"/>
      <c r="W28" s="3">
        <v>5</v>
      </c>
      <c r="X28" s="3">
        <v>26.34</v>
      </c>
      <c r="Y28" s="7" t="s">
        <v>402</v>
      </c>
      <c r="AI28" s="28"/>
      <c r="AJ28" s="30"/>
      <c r="AK28" s="30"/>
      <c r="AL28" s="4">
        <v>5</v>
      </c>
      <c r="AM28" s="16">
        <v>170.62</v>
      </c>
      <c r="AN28" s="30"/>
      <c r="AW28" s="28"/>
      <c r="AX28" s="28"/>
      <c r="AY28" s="28"/>
      <c r="AZ28" s="4">
        <v>4</v>
      </c>
      <c r="BA28" s="4">
        <v>37.619999999999997</v>
      </c>
      <c r="BB28" s="30"/>
    </row>
    <row r="29" spans="1:69" x14ac:dyDescent="0.25">
      <c r="A29" t="s">
        <v>401</v>
      </c>
      <c r="B29" t="s">
        <v>406</v>
      </c>
      <c r="C29" t="s">
        <v>391</v>
      </c>
      <c r="D29">
        <v>113.42</v>
      </c>
      <c r="E29">
        <v>999.27</v>
      </c>
      <c r="F29">
        <v>8</v>
      </c>
      <c r="G29">
        <v>22.42</v>
      </c>
      <c r="H29" t="s">
        <v>402</v>
      </c>
      <c r="R29" s="8" t="s">
        <v>401</v>
      </c>
      <c r="S29" s="28"/>
      <c r="T29" s="28"/>
      <c r="U29" s="28"/>
      <c r="V29" s="28"/>
      <c r="W29" s="4">
        <v>6</v>
      </c>
      <c r="X29" s="4">
        <v>24.58</v>
      </c>
      <c r="Y29" s="9" t="s">
        <v>402</v>
      </c>
      <c r="AI29" s="28"/>
      <c r="AJ29" s="30"/>
      <c r="AK29" s="30"/>
      <c r="AL29" s="3">
        <v>6</v>
      </c>
      <c r="AM29" s="15">
        <v>173.41</v>
      </c>
      <c r="AN29" s="30"/>
      <c r="AW29" s="28"/>
      <c r="AX29" s="28"/>
      <c r="AY29" s="28"/>
      <c r="AZ29" s="3">
        <v>5</v>
      </c>
      <c r="BA29" s="3">
        <v>30.95</v>
      </c>
      <c r="BB29" s="30"/>
    </row>
    <row r="30" spans="1:69" x14ac:dyDescent="0.25">
      <c r="A30" t="s">
        <v>401</v>
      </c>
      <c r="B30" t="s">
        <v>406</v>
      </c>
      <c r="C30" t="s">
        <v>391</v>
      </c>
      <c r="D30">
        <v>113.42</v>
      </c>
      <c r="E30">
        <v>999.27</v>
      </c>
      <c r="F30">
        <v>9</v>
      </c>
      <c r="G30">
        <v>25.15</v>
      </c>
      <c r="H30" t="s">
        <v>402</v>
      </c>
      <c r="R30" s="6" t="s">
        <v>401</v>
      </c>
      <c r="S30" s="28"/>
      <c r="T30" s="28"/>
      <c r="U30" s="28"/>
      <c r="V30" s="28"/>
      <c r="W30" s="3">
        <v>7</v>
      </c>
      <c r="X30" s="3">
        <v>23.62</v>
      </c>
      <c r="Y30" s="7" t="s">
        <v>402</v>
      </c>
      <c r="AI30" s="28"/>
      <c r="AJ30" s="30"/>
      <c r="AK30" s="30"/>
      <c r="AL30" s="4">
        <v>7</v>
      </c>
      <c r="AM30" s="16">
        <v>168.27</v>
      </c>
      <c r="AN30" s="30"/>
      <c r="AW30" s="28"/>
      <c r="AX30" s="28"/>
      <c r="AY30" s="28"/>
      <c r="AZ30" s="4">
        <v>6</v>
      </c>
      <c r="BA30" s="4">
        <v>28.48</v>
      </c>
      <c r="BB30" s="30"/>
    </row>
    <row r="31" spans="1:69" x14ac:dyDescent="0.25">
      <c r="A31" t="s">
        <v>401</v>
      </c>
      <c r="B31" t="s">
        <v>406</v>
      </c>
      <c r="C31" t="s">
        <v>391</v>
      </c>
      <c r="D31">
        <v>113.42</v>
      </c>
      <c r="E31">
        <v>999.27</v>
      </c>
      <c r="F31">
        <v>10</v>
      </c>
      <c r="G31">
        <v>27.61</v>
      </c>
      <c r="H31" t="s">
        <v>402</v>
      </c>
      <c r="R31" s="8" t="s">
        <v>401</v>
      </c>
      <c r="S31" s="28"/>
      <c r="T31" s="28"/>
      <c r="U31" s="28"/>
      <c r="V31" s="28"/>
      <c r="W31" s="4">
        <v>8</v>
      </c>
      <c r="X31" s="4">
        <v>22.42</v>
      </c>
      <c r="Y31" s="9" t="s">
        <v>402</v>
      </c>
      <c r="AI31" s="28"/>
      <c r="AJ31" s="30"/>
      <c r="AK31" s="30"/>
      <c r="AL31" s="3">
        <v>8</v>
      </c>
      <c r="AM31" s="15">
        <v>169.49</v>
      </c>
      <c r="AN31" s="30"/>
      <c r="AW31" s="28"/>
      <c r="AX31" s="28"/>
      <c r="AY31" s="28"/>
      <c r="AZ31" s="3">
        <v>7</v>
      </c>
      <c r="BA31" s="3">
        <v>28.95</v>
      </c>
      <c r="BB31" s="30"/>
    </row>
    <row r="32" spans="1:69" x14ac:dyDescent="0.25">
      <c r="A32" t="s">
        <v>401</v>
      </c>
      <c r="B32" t="s">
        <v>385</v>
      </c>
      <c r="C32" t="s">
        <v>389</v>
      </c>
      <c r="D32">
        <v>194.15</v>
      </c>
      <c r="E32">
        <v>3117.9</v>
      </c>
      <c r="F32">
        <v>1</v>
      </c>
      <c r="G32">
        <v>568.34</v>
      </c>
      <c r="H32" t="s">
        <v>402</v>
      </c>
      <c r="R32" s="6" t="s">
        <v>401</v>
      </c>
      <c r="S32" s="28"/>
      <c r="T32" s="28"/>
      <c r="U32" s="28"/>
      <c r="V32" s="28"/>
      <c r="W32" s="3">
        <v>9</v>
      </c>
      <c r="X32" s="3">
        <v>25.15</v>
      </c>
      <c r="Y32" s="7" t="s">
        <v>402</v>
      </c>
      <c r="AI32" s="28"/>
      <c r="AJ32" s="30"/>
      <c r="AK32" s="30"/>
      <c r="AL32" s="4">
        <v>9</v>
      </c>
      <c r="AM32" s="16">
        <v>169.6</v>
      </c>
      <c r="AN32" s="30"/>
      <c r="AW32" s="28"/>
      <c r="AX32" s="28"/>
      <c r="AY32" s="28"/>
      <c r="AZ32" s="4">
        <v>8</v>
      </c>
      <c r="BA32" s="4">
        <v>34.53</v>
      </c>
      <c r="BB32" s="30"/>
    </row>
    <row r="33" spans="1:59" x14ac:dyDescent="0.25">
      <c r="A33" t="s">
        <v>401</v>
      </c>
      <c r="B33" t="s">
        <v>385</v>
      </c>
      <c r="C33" t="s">
        <v>389</v>
      </c>
      <c r="D33">
        <v>194.15</v>
      </c>
      <c r="E33">
        <v>3117.9</v>
      </c>
      <c r="F33">
        <v>2</v>
      </c>
      <c r="G33">
        <v>234.47</v>
      </c>
      <c r="H33" t="s">
        <v>402</v>
      </c>
      <c r="R33" s="8" t="s">
        <v>401</v>
      </c>
      <c r="S33" s="29"/>
      <c r="T33" s="29"/>
      <c r="U33" s="29"/>
      <c r="V33" s="29"/>
      <c r="W33" s="4">
        <v>10</v>
      </c>
      <c r="X33" s="4">
        <v>27.61</v>
      </c>
      <c r="Y33" s="9" t="s">
        <v>402</v>
      </c>
      <c r="AI33" s="29"/>
      <c r="AJ33" s="32"/>
      <c r="AK33" s="32"/>
      <c r="AL33" s="3">
        <v>10</v>
      </c>
      <c r="AM33" s="15">
        <v>172.73</v>
      </c>
      <c r="AN33" s="30"/>
      <c r="AW33" s="28"/>
      <c r="AX33" s="28"/>
      <c r="AY33" s="28"/>
      <c r="AZ33" s="3">
        <v>9</v>
      </c>
      <c r="BA33" s="3">
        <v>24.7</v>
      </c>
      <c r="BB33" s="30"/>
    </row>
    <row r="34" spans="1:59" x14ac:dyDescent="0.25">
      <c r="A34" t="s">
        <v>401</v>
      </c>
      <c r="B34" t="s">
        <v>385</v>
      </c>
      <c r="C34" t="s">
        <v>389</v>
      </c>
      <c r="D34">
        <v>194.15</v>
      </c>
      <c r="E34">
        <v>3117.9</v>
      </c>
      <c r="F34">
        <v>3</v>
      </c>
      <c r="G34">
        <v>160.27000000000001</v>
      </c>
      <c r="H34" t="s">
        <v>402</v>
      </c>
      <c r="R34" s="6" t="s">
        <v>401</v>
      </c>
      <c r="S34" s="27" t="s">
        <v>385</v>
      </c>
      <c r="T34" s="27" t="s">
        <v>389</v>
      </c>
      <c r="U34" s="27">
        <v>194.15</v>
      </c>
      <c r="V34" s="27">
        <v>3117.9</v>
      </c>
      <c r="W34" s="3">
        <v>1</v>
      </c>
      <c r="X34" s="3">
        <v>568.34</v>
      </c>
      <c r="Y34" s="7" t="s">
        <v>402</v>
      </c>
      <c r="AI34" s="27" t="s">
        <v>408</v>
      </c>
      <c r="AJ34" s="27">
        <v>0.34</v>
      </c>
      <c r="AK34" s="27">
        <v>524.48</v>
      </c>
      <c r="AL34" s="3">
        <v>1</v>
      </c>
      <c r="AM34" s="15">
        <v>481.92</v>
      </c>
      <c r="AN34" s="30">
        <f t="shared" ref="AN34" si="2">SLOPE(AM34:AM43,AL34:AL43)</f>
        <v>-32.698242424242423</v>
      </c>
      <c r="AO34">
        <v>-32.698242424242423</v>
      </c>
      <c r="AW34" s="29"/>
      <c r="AX34" s="29"/>
      <c r="AY34" s="29"/>
      <c r="AZ34" s="4">
        <v>10</v>
      </c>
      <c r="BA34" s="4">
        <v>32.130000000000003</v>
      </c>
      <c r="BB34" s="30"/>
    </row>
    <row r="35" spans="1:59" x14ac:dyDescent="0.25">
      <c r="A35" t="s">
        <v>401</v>
      </c>
      <c r="B35" t="s">
        <v>385</v>
      </c>
      <c r="C35" t="s">
        <v>389</v>
      </c>
      <c r="D35">
        <v>194.15</v>
      </c>
      <c r="E35">
        <v>3117.9</v>
      </c>
      <c r="F35">
        <v>4</v>
      </c>
      <c r="G35">
        <v>133.05000000000001</v>
      </c>
      <c r="H35" t="s">
        <v>402</v>
      </c>
      <c r="R35" s="8" t="s">
        <v>401</v>
      </c>
      <c r="S35" s="28"/>
      <c r="T35" s="28"/>
      <c r="U35" s="28"/>
      <c r="V35" s="28"/>
      <c r="W35" s="4">
        <v>2</v>
      </c>
      <c r="X35" s="4">
        <v>234.47</v>
      </c>
      <c r="Y35" s="9" t="s">
        <v>402</v>
      </c>
      <c r="AI35" s="28"/>
      <c r="AJ35" s="28"/>
      <c r="AK35" s="28"/>
      <c r="AL35" s="4">
        <v>2</v>
      </c>
      <c r="AM35" s="16">
        <v>145.76</v>
      </c>
      <c r="AN35" s="30"/>
      <c r="AW35" s="11"/>
      <c r="AX35" s="11"/>
      <c r="AY35" s="11"/>
      <c r="AZ35" s="4"/>
      <c r="BA35" s="4"/>
      <c r="BC35" s="27"/>
      <c r="BD35" s="27"/>
      <c r="BE35" s="27"/>
      <c r="BF35" s="3"/>
      <c r="BG35" s="3"/>
    </row>
    <row r="36" spans="1:59" x14ac:dyDescent="0.25">
      <c r="A36" t="s">
        <v>401</v>
      </c>
      <c r="B36" t="s">
        <v>385</v>
      </c>
      <c r="C36" t="s">
        <v>389</v>
      </c>
      <c r="D36">
        <v>194.15</v>
      </c>
      <c r="E36">
        <v>3117.9</v>
      </c>
      <c r="F36">
        <v>5</v>
      </c>
      <c r="G36">
        <v>120.14</v>
      </c>
      <c r="H36" t="s">
        <v>402</v>
      </c>
      <c r="R36" s="6" t="s">
        <v>401</v>
      </c>
      <c r="S36" s="28"/>
      <c r="T36" s="28"/>
      <c r="U36" s="28"/>
      <c r="V36" s="28"/>
      <c r="W36" s="3">
        <v>3</v>
      </c>
      <c r="X36" s="3">
        <v>160.27000000000001</v>
      </c>
      <c r="Y36" s="7" t="s">
        <v>402</v>
      </c>
      <c r="AI36" s="28"/>
      <c r="AJ36" s="28"/>
      <c r="AK36" s="28"/>
      <c r="AL36" s="3">
        <v>3</v>
      </c>
      <c r="AM36" s="15">
        <v>139.75</v>
      </c>
      <c r="AN36" s="30"/>
      <c r="AW36" s="11"/>
      <c r="AX36" s="11"/>
      <c r="AY36" s="11"/>
      <c r="AZ36" s="3"/>
      <c r="BA36" s="3"/>
      <c r="BC36" s="28"/>
      <c r="BD36" s="28"/>
      <c r="BE36" s="28"/>
      <c r="BF36" s="4"/>
      <c r="BG36" s="4"/>
    </row>
    <row r="37" spans="1:59" x14ac:dyDescent="0.25">
      <c r="A37" t="s">
        <v>401</v>
      </c>
      <c r="B37" t="s">
        <v>385</v>
      </c>
      <c r="C37" t="s">
        <v>389</v>
      </c>
      <c r="D37">
        <v>194.15</v>
      </c>
      <c r="E37">
        <v>3117.9</v>
      </c>
      <c r="F37">
        <v>6</v>
      </c>
      <c r="G37">
        <v>118.37</v>
      </c>
      <c r="H37" t="s">
        <v>402</v>
      </c>
      <c r="R37" s="8" t="s">
        <v>401</v>
      </c>
      <c r="S37" s="28"/>
      <c r="T37" s="28"/>
      <c r="U37" s="28"/>
      <c r="V37" s="28"/>
      <c r="W37" s="4">
        <v>4</v>
      </c>
      <c r="X37" s="4">
        <v>133.05000000000001</v>
      </c>
      <c r="Y37" s="9" t="s">
        <v>402</v>
      </c>
      <c r="AI37" s="28"/>
      <c r="AJ37" s="28"/>
      <c r="AK37" s="28"/>
      <c r="AL37" s="4">
        <v>4</v>
      </c>
      <c r="AM37" s="16">
        <v>110.35</v>
      </c>
      <c r="AN37" s="30"/>
      <c r="AW37" s="11"/>
      <c r="AX37" s="11"/>
      <c r="AY37" s="11"/>
      <c r="AZ37" s="4"/>
      <c r="BA37" s="4"/>
      <c r="BC37" s="28"/>
      <c r="BD37" s="28"/>
      <c r="BE37" s="28"/>
      <c r="BF37" s="3"/>
      <c r="BG37" s="3"/>
    </row>
    <row r="38" spans="1:59" x14ac:dyDescent="0.25">
      <c r="A38" t="s">
        <v>401</v>
      </c>
      <c r="B38" t="s">
        <v>385</v>
      </c>
      <c r="C38" t="s">
        <v>389</v>
      </c>
      <c r="D38">
        <v>194.15</v>
      </c>
      <c r="E38">
        <v>3117.9</v>
      </c>
      <c r="F38">
        <v>7</v>
      </c>
      <c r="G38">
        <v>133.24</v>
      </c>
      <c r="H38" t="s">
        <v>402</v>
      </c>
      <c r="R38" s="6" t="s">
        <v>401</v>
      </c>
      <c r="S38" s="28"/>
      <c r="T38" s="28"/>
      <c r="U38" s="28"/>
      <c r="V38" s="28"/>
      <c r="W38" s="3">
        <v>5</v>
      </c>
      <c r="X38" s="3">
        <v>120.14</v>
      </c>
      <c r="Y38" s="7" t="s">
        <v>402</v>
      </c>
      <c r="AI38" s="28"/>
      <c r="AJ38" s="28"/>
      <c r="AK38" s="28"/>
      <c r="AL38" s="3">
        <v>5</v>
      </c>
      <c r="AM38" s="15">
        <v>96.37</v>
      </c>
      <c r="AN38" s="30"/>
      <c r="AW38" s="11"/>
      <c r="AX38" s="11"/>
      <c r="AY38" s="11"/>
      <c r="AZ38" s="3"/>
      <c r="BA38" s="3"/>
      <c r="BC38" s="28"/>
      <c r="BD38" s="28"/>
      <c r="BE38" s="28"/>
      <c r="BF38" s="4"/>
      <c r="BG38" s="4"/>
    </row>
    <row r="39" spans="1:59" x14ac:dyDescent="0.25">
      <c r="A39" t="s">
        <v>401</v>
      </c>
      <c r="B39" t="s">
        <v>385</v>
      </c>
      <c r="C39" t="s">
        <v>389</v>
      </c>
      <c r="D39">
        <v>194.15</v>
      </c>
      <c r="E39">
        <v>3117.9</v>
      </c>
      <c r="F39">
        <v>8</v>
      </c>
      <c r="G39">
        <v>119.24</v>
      </c>
      <c r="H39" t="s">
        <v>402</v>
      </c>
      <c r="R39" s="8" t="s">
        <v>401</v>
      </c>
      <c r="S39" s="28"/>
      <c r="T39" s="28"/>
      <c r="U39" s="28"/>
      <c r="V39" s="28"/>
      <c r="W39" s="4">
        <v>6</v>
      </c>
      <c r="X39" s="4">
        <v>118.37</v>
      </c>
      <c r="Y39" s="9" t="s">
        <v>402</v>
      </c>
      <c r="AI39" s="28"/>
      <c r="AJ39" s="28"/>
      <c r="AK39" s="28"/>
      <c r="AL39" s="4">
        <v>6</v>
      </c>
      <c r="AM39" s="16">
        <v>94.36</v>
      </c>
      <c r="AN39" s="30"/>
      <c r="AW39" s="11"/>
      <c r="AX39" s="11"/>
      <c r="AY39" s="11"/>
      <c r="AZ39" s="4"/>
      <c r="BA39" s="4"/>
      <c r="BC39" s="28"/>
      <c r="BD39" s="28"/>
      <c r="BE39" s="28"/>
      <c r="BF39" s="3"/>
      <c r="BG39" s="3"/>
    </row>
    <row r="40" spans="1:59" x14ac:dyDescent="0.25">
      <c r="A40" t="s">
        <v>401</v>
      </c>
      <c r="B40" t="s">
        <v>385</v>
      </c>
      <c r="C40" t="s">
        <v>389</v>
      </c>
      <c r="D40">
        <v>194.15</v>
      </c>
      <c r="E40">
        <v>3117.9</v>
      </c>
      <c r="F40">
        <v>9</v>
      </c>
      <c r="G40">
        <v>114.56</v>
      </c>
      <c r="H40" t="s">
        <v>402</v>
      </c>
      <c r="R40" s="6" t="s">
        <v>401</v>
      </c>
      <c r="S40" s="28"/>
      <c r="T40" s="28"/>
      <c r="U40" s="28"/>
      <c r="V40" s="28"/>
      <c r="W40" s="3">
        <v>7</v>
      </c>
      <c r="X40" s="3">
        <v>133.24</v>
      </c>
      <c r="Y40" s="7" t="s">
        <v>402</v>
      </c>
      <c r="AI40" s="28"/>
      <c r="AJ40" s="28"/>
      <c r="AK40" s="28"/>
      <c r="AL40" s="3">
        <v>7</v>
      </c>
      <c r="AM40" s="15">
        <v>82.99</v>
      </c>
      <c r="AN40" s="30"/>
      <c r="AW40" s="11"/>
      <c r="AX40" s="11"/>
      <c r="AY40" s="11"/>
      <c r="AZ40" s="3"/>
      <c r="BA40" s="3"/>
      <c r="BC40" s="28"/>
      <c r="BD40" s="28"/>
      <c r="BE40" s="28"/>
      <c r="BF40" s="4"/>
      <c r="BG40" s="4"/>
    </row>
    <row r="41" spans="1:59" x14ac:dyDescent="0.25">
      <c r="A41" t="s">
        <v>401</v>
      </c>
      <c r="B41" t="s">
        <v>385</v>
      </c>
      <c r="C41" t="s">
        <v>389</v>
      </c>
      <c r="D41">
        <v>194.15</v>
      </c>
      <c r="E41">
        <v>3117.9</v>
      </c>
      <c r="F41">
        <v>10</v>
      </c>
      <c r="G41">
        <v>92.59</v>
      </c>
      <c r="H41" t="s">
        <v>402</v>
      </c>
      <c r="R41" s="8" t="s">
        <v>401</v>
      </c>
      <c r="S41" s="28"/>
      <c r="T41" s="28"/>
      <c r="U41" s="28"/>
      <c r="V41" s="28"/>
      <c r="W41" s="4">
        <v>8</v>
      </c>
      <c r="X41" s="4">
        <v>119.24</v>
      </c>
      <c r="Y41" s="9" t="s">
        <v>402</v>
      </c>
      <c r="AI41" s="28"/>
      <c r="AJ41" s="28"/>
      <c r="AK41" s="28"/>
      <c r="AL41" s="4">
        <v>8</v>
      </c>
      <c r="AM41" s="16">
        <v>95.97</v>
      </c>
      <c r="AN41" s="30"/>
      <c r="AW41" s="11"/>
      <c r="AX41" s="11"/>
      <c r="AY41" s="11"/>
      <c r="AZ41" s="4"/>
      <c r="BA41" s="4"/>
      <c r="BC41" s="28"/>
      <c r="BD41" s="28"/>
      <c r="BE41" s="28"/>
      <c r="BF41" s="3"/>
      <c r="BG41" s="3"/>
    </row>
    <row r="42" spans="1:59" x14ac:dyDescent="0.25">
      <c r="A42" t="s">
        <v>401</v>
      </c>
      <c r="B42" t="s">
        <v>385</v>
      </c>
      <c r="C42" t="s">
        <v>390</v>
      </c>
      <c r="D42" t="s">
        <v>403</v>
      </c>
      <c r="E42" t="s">
        <v>403</v>
      </c>
      <c r="F42">
        <v>1</v>
      </c>
      <c r="G42" t="s">
        <v>403</v>
      </c>
      <c r="H42" t="s">
        <v>410</v>
      </c>
      <c r="R42" s="6" t="s">
        <v>401</v>
      </c>
      <c r="S42" s="28"/>
      <c r="T42" s="28"/>
      <c r="U42" s="28"/>
      <c r="V42" s="28"/>
      <c r="W42" s="3">
        <v>9</v>
      </c>
      <c r="X42" s="3">
        <v>114.56</v>
      </c>
      <c r="Y42" s="7" t="s">
        <v>402</v>
      </c>
      <c r="AI42" s="28"/>
      <c r="AJ42" s="28"/>
      <c r="AK42" s="28"/>
      <c r="AL42" s="3">
        <v>9</v>
      </c>
      <c r="AM42" s="15">
        <v>18.78</v>
      </c>
      <c r="AN42" s="30"/>
      <c r="AW42" s="11"/>
      <c r="AX42" s="11"/>
      <c r="AY42" s="11"/>
      <c r="AZ42" s="3"/>
      <c r="BA42" s="3"/>
      <c r="BC42" s="28"/>
      <c r="BD42" s="28"/>
      <c r="BE42" s="28"/>
      <c r="BF42" s="4"/>
      <c r="BG42" s="4"/>
    </row>
    <row r="43" spans="1:59" x14ac:dyDescent="0.25">
      <c r="A43" t="s">
        <v>401</v>
      </c>
      <c r="B43" t="s">
        <v>385</v>
      </c>
      <c r="C43" t="s">
        <v>391</v>
      </c>
      <c r="D43">
        <v>182.99</v>
      </c>
      <c r="E43">
        <v>4186.41</v>
      </c>
      <c r="F43">
        <v>1</v>
      </c>
      <c r="G43">
        <v>533.88</v>
      </c>
      <c r="H43" t="s">
        <v>402</v>
      </c>
      <c r="R43" s="8" t="s">
        <v>401</v>
      </c>
      <c r="S43" s="29"/>
      <c r="T43" s="29"/>
      <c r="U43" s="29"/>
      <c r="V43" s="29"/>
      <c r="W43" s="4">
        <v>10</v>
      </c>
      <c r="X43" s="4">
        <v>92.59</v>
      </c>
      <c r="Y43" s="9" t="s">
        <v>402</v>
      </c>
      <c r="AI43" s="29"/>
      <c r="AJ43" s="29"/>
      <c r="AK43" s="29"/>
      <c r="AL43" s="4">
        <v>10</v>
      </c>
      <c r="AM43" s="16">
        <v>14.88</v>
      </c>
      <c r="AN43" s="30"/>
      <c r="AW43" s="12"/>
      <c r="AX43" s="12"/>
      <c r="AY43" s="12"/>
      <c r="AZ43" s="4"/>
      <c r="BA43" s="4"/>
      <c r="BC43" s="28"/>
      <c r="BD43" s="28"/>
      <c r="BE43" s="28"/>
      <c r="BF43" s="3"/>
      <c r="BG43" s="3"/>
    </row>
    <row r="44" spans="1:59" x14ac:dyDescent="0.25">
      <c r="A44" t="s">
        <v>401</v>
      </c>
      <c r="B44" t="s">
        <v>385</v>
      </c>
      <c r="C44" t="s">
        <v>391</v>
      </c>
      <c r="D44">
        <v>182.99</v>
      </c>
      <c r="E44">
        <v>4186.41</v>
      </c>
      <c r="F44">
        <v>2</v>
      </c>
      <c r="G44">
        <v>42.35</v>
      </c>
      <c r="H44" t="s">
        <v>402</v>
      </c>
      <c r="R44" s="6" t="s">
        <v>401</v>
      </c>
      <c r="S44" s="3" t="s">
        <v>385</v>
      </c>
      <c r="T44" s="3" t="s">
        <v>390</v>
      </c>
      <c r="U44" s="3" t="s">
        <v>403</v>
      </c>
      <c r="V44" s="3" t="s">
        <v>403</v>
      </c>
      <c r="W44" s="3">
        <v>1</v>
      </c>
      <c r="X44" s="3" t="s">
        <v>403</v>
      </c>
      <c r="Y44" s="7" t="s">
        <v>410</v>
      </c>
      <c r="BC44" s="29"/>
      <c r="BD44" s="29"/>
      <c r="BE44" s="29"/>
      <c r="BF44" s="4"/>
      <c r="BG44" s="4"/>
    </row>
    <row r="45" spans="1:59" x14ac:dyDescent="0.25">
      <c r="A45" t="s">
        <v>401</v>
      </c>
      <c r="B45" t="s">
        <v>385</v>
      </c>
      <c r="C45" t="s">
        <v>391</v>
      </c>
      <c r="D45">
        <v>182.99</v>
      </c>
      <c r="E45">
        <v>4186.41</v>
      </c>
      <c r="F45">
        <v>3</v>
      </c>
      <c r="G45">
        <v>41.8</v>
      </c>
      <c r="H45" t="s">
        <v>402</v>
      </c>
      <c r="R45" s="8" t="s">
        <v>401</v>
      </c>
      <c r="S45" s="31" t="s">
        <v>385</v>
      </c>
      <c r="T45" s="31" t="s">
        <v>391</v>
      </c>
      <c r="U45" s="31">
        <v>182.99</v>
      </c>
      <c r="V45" s="31">
        <v>4186.41</v>
      </c>
      <c r="W45" s="4">
        <v>1</v>
      </c>
      <c r="X45" s="4">
        <v>533.88</v>
      </c>
      <c r="Y45" s="9" t="s">
        <v>402</v>
      </c>
    </row>
    <row r="46" spans="1:59" x14ac:dyDescent="0.25">
      <c r="A46" t="s">
        <v>401</v>
      </c>
      <c r="B46" t="s">
        <v>385</v>
      </c>
      <c r="C46" t="s">
        <v>391</v>
      </c>
      <c r="D46">
        <v>182.99</v>
      </c>
      <c r="E46">
        <v>4186.41</v>
      </c>
      <c r="F46">
        <v>4</v>
      </c>
      <c r="G46">
        <v>37.39</v>
      </c>
      <c r="H46" t="s">
        <v>402</v>
      </c>
      <c r="R46" s="6" t="s">
        <v>401</v>
      </c>
      <c r="S46" s="30"/>
      <c r="T46" s="30"/>
      <c r="U46" s="30"/>
      <c r="V46" s="30"/>
      <c r="W46" s="3">
        <v>2</v>
      </c>
      <c r="X46" s="3">
        <v>42.35</v>
      </c>
      <c r="Y46" s="7" t="s">
        <v>402</v>
      </c>
    </row>
    <row r="47" spans="1:59" x14ac:dyDescent="0.25">
      <c r="A47" t="s">
        <v>401</v>
      </c>
      <c r="B47" t="s">
        <v>385</v>
      </c>
      <c r="C47" t="s">
        <v>391</v>
      </c>
      <c r="D47">
        <v>182.99</v>
      </c>
      <c r="E47">
        <v>4186.41</v>
      </c>
      <c r="F47">
        <v>5</v>
      </c>
      <c r="G47">
        <v>34.57</v>
      </c>
      <c r="H47" t="s">
        <v>402</v>
      </c>
      <c r="R47" s="8" t="s">
        <v>401</v>
      </c>
      <c r="S47" s="30"/>
      <c r="T47" s="30"/>
      <c r="U47" s="30"/>
      <c r="V47" s="30"/>
      <c r="W47" s="4">
        <v>3</v>
      </c>
      <c r="X47" s="4">
        <v>41.8</v>
      </c>
      <c r="Y47" s="9" t="s">
        <v>402</v>
      </c>
    </row>
    <row r="48" spans="1:59" x14ac:dyDescent="0.25">
      <c r="A48" t="s">
        <v>401</v>
      </c>
      <c r="B48" t="s">
        <v>385</v>
      </c>
      <c r="C48" t="s">
        <v>391</v>
      </c>
      <c r="D48">
        <v>182.99</v>
      </c>
      <c r="E48">
        <v>4186.41</v>
      </c>
      <c r="F48">
        <v>6</v>
      </c>
      <c r="G48">
        <v>31.21</v>
      </c>
      <c r="H48" t="s">
        <v>402</v>
      </c>
      <c r="R48" s="6" t="s">
        <v>401</v>
      </c>
      <c r="S48" s="30"/>
      <c r="T48" s="30"/>
      <c r="U48" s="30"/>
      <c r="V48" s="30"/>
      <c r="W48" s="3">
        <v>4</v>
      </c>
      <c r="X48" s="3">
        <v>37.39</v>
      </c>
      <c r="Y48" s="7" t="s">
        <v>402</v>
      </c>
    </row>
    <row r="49" spans="1:44" x14ac:dyDescent="0.25">
      <c r="A49" t="s">
        <v>401</v>
      </c>
      <c r="B49" t="s">
        <v>385</v>
      </c>
      <c r="C49" t="s">
        <v>391</v>
      </c>
      <c r="D49">
        <v>182.99</v>
      </c>
      <c r="E49">
        <v>4186.41</v>
      </c>
      <c r="F49">
        <v>7</v>
      </c>
      <c r="G49">
        <v>30.98</v>
      </c>
      <c r="H49" t="s">
        <v>402</v>
      </c>
      <c r="R49" s="8" t="s">
        <v>401</v>
      </c>
      <c r="S49" s="30"/>
      <c r="T49" s="30"/>
      <c r="U49" s="30"/>
      <c r="V49" s="30"/>
      <c r="W49" s="4">
        <v>5</v>
      </c>
      <c r="X49" s="4">
        <v>34.57</v>
      </c>
      <c r="Y49" s="9" t="s">
        <v>402</v>
      </c>
    </row>
    <row r="50" spans="1:44" x14ac:dyDescent="0.25">
      <c r="A50" t="s">
        <v>401</v>
      </c>
      <c r="B50" t="s">
        <v>385</v>
      </c>
      <c r="C50" t="s">
        <v>391</v>
      </c>
      <c r="D50">
        <v>182.99</v>
      </c>
      <c r="E50">
        <v>4186.41</v>
      </c>
      <c r="F50">
        <v>8</v>
      </c>
      <c r="G50">
        <v>29.24</v>
      </c>
      <c r="H50" t="s">
        <v>402</v>
      </c>
      <c r="R50" s="6" t="s">
        <v>401</v>
      </c>
      <c r="S50" s="30"/>
      <c r="T50" s="30"/>
      <c r="U50" s="30"/>
      <c r="V50" s="30"/>
      <c r="W50" s="3">
        <v>6</v>
      </c>
      <c r="X50" s="3">
        <v>31.21</v>
      </c>
      <c r="Y50" s="7" t="s">
        <v>402</v>
      </c>
    </row>
    <row r="51" spans="1:44" x14ac:dyDescent="0.25">
      <c r="A51" t="s">
        <v>401</v>
      </c>
      <c r="B51" t="s">
        <v>385</v>
      </c>
      <c r="C51" t="s">
        <v>391</v>
      </c>
      <c r="D51">
        <v>182.99</v>
      </c>
      <c r="E51">
        <v>4186.41</v>
      </c>
      <c r="F51">
        <v>9</v>
      </c>
      <c r="G51">
        <v>31.48</v>
      </c>
      <c r="H51" t="s">
        <v>402</v>
      </c>
      <c r="R51" s="8" t="s">
        <v>401</v>
      </c>
      <c r="S51" s="30"/>
      <c r="T51" s="30"/>
      <c r="U51" s="30"/>
      <c r="V51" s="30"/>
      <c r="W51" s="4">
        <v>7</v>
      </c>
      <c r="X51" s="4">
        <v>30.98</v>
      </c>
      <c r="Y51" s="9" t="s">
        <v>402</v>
      </c>
    </row>
    <row r="52" spans="1:44" x14ac:dyDescent="0.25">
      <c r="A52" t="s">
        <v>401</v>
      </c>
      <c r="B52" t="s">
        <v>385</v>
      </c>
      <c r="C52" t="s">
        <v>391</v>
      </c>
      <c r="D52">
        <v>182.99</v>
      </c>
      <c r="E52">
        <v>4186.41</v>
      </c>
      <c r="F52">
        <v>10</v>
      </c>
      <c r="G52">
        <v>30.61</v>
      </c>
      <c r="H52" t="s">
        <v>402</v>
      </c>
      <c r="R52" s="6" t="s">
        <v>401</v>
      </c>
      <c r="S52" s="30"/>
      <c r="T52" s="30"/>
      <c r="U52" s="30"/>
      <c r="V52" s="30"/>
      <c r="W52" s="3">
        <v>8</v>
      </c>
      <c r="X52" s="3">
        <v>29.24</v>
      </c>
      <c r="Y52" s="7" t="s">
        <v>402</v>
      </c>
    </row>
    <row r="53" spans="1:44" x14ac:dyDescent="0.25">
      <c r="A53" t="s">
        <v>401</v>
      </c>
      <c r="B53" t="s">
        <v>385</v>
      </c>
      <c r="C53" t="s">
        <v>392</v>
      </c>
      <c r="D53">
        <v>287.79000000000002</v>
      </c>
      <c r="E53">
        <v>6972.37</v>
      </c>
      <c r="F53">
        <v>1</v>
      </c>
      <c r="G53">
        <v>1068.58</v>
      </c>
      <c r="H53" t="s">
        <v>402</v>
      </c>
      <c r="R53" s="8" t="s">
        <v>401</v>
      </c>
      <c r="S53" s="30"/>
      <c r="T53" s="30"/>
      <c r="U53" s="30"/>
      <c r="V53" s="30"/>
      <c r="W53" s="4">
        <v>9</v>
      </c>
      <c r="X53" s="4">
        <v>31.48</v>
      </c>
      <c r="Y53" s="9" t="s">
        <v>402</v>
      </c>
    </row>
    <row r="54" spans="1:44" x14ac:dyDescent="0.25">
      <c r="A54" t="s">
        <v>401</v>
      </c>
      <c r="B54" t="s">
        <v>385</v>
      </c>
      <c r="C54" t="s">
        <v>392</v>
      </c>
      <c r="D54">
        <v>287.79000000000002</v>
      </c>
      <c r="E54">
        <v>6972.37</v>
      </c>
      <c r="F54">
        <v>2</v>
      </c>
      <c r="G54">
        <v>870.38</v>
      </c>
      <c r="H54" t="s">
        <v>402</v>
      </c>
      <c r="R54" s="6" t="s">
        <v>401</v>
      </c>
      <c r="S54" s="32"/>
      <c r="T54" s="32"/>
      <c r="U54" s="32"/>
      <c r="V54" s="32"/>
      <c r="W54" s="3">
        <v>10</v>
      </c>
      <c r="X54" s="3">
        <v>30.61</v>
      </c>
      <c r="Y54" s="7" t="s">
        <v>402</v>
      </c>
      <c r="AP54" s="2" t="s">
        <v>1</v>
      </c>
      <c r="AQ54" s="2" t="s">
        <v>2</v>
      </c>
      <c r="AR54" s="2" t="s">
        <v>412</v>
      </c>
    </row>
    <row r="55" spans="1:44" x14ac:dyDescent="0.25">
      <c r="A55" t="s">
        <v>401</v>
      </c>
      <c r="B55" t="s">
        <v>385</v>
      </c>
      <c r="C55" t="s">
        <v>392</v>
      </c>
      <c r="D55">
        <v>287.79000000000002</v>
      </c>
      <c r="E55">
        <v>6972.37</v>
      </c>
      <c r="F55">
        <v>3</v>
      </c>
      <c r="G55">
        <v>863.03</v>
      </c>
      <c r="H55" t="s">
        <v>402</v>
      </c>
      <c r="R55" s="8" t="s">
        <v>401</v>
      </c>
      <c r="S55" s="31" t="s">
        <v>385</v>
      </c>
      <c r="T55" s="31" t="s">
        <v>392</v>
      </c>
      <c r="U55" s="31">
        <v>287.79000000000002</v>
      </c>
      <c r="V55" s="31">
        <v>6972.37</v>
      </c>
      <c r="W55" s="4">
        <v>1</v>
      </c>
      <c r="X55" s="4">
        <v>1068.58</v>
      </c>
      <c r="Y55" s="9" t="s">
        <v>402</v>
      </c>
      <c r="AP55" s="3" t="s">
        <v>384</v>
      </c>
      <c r="AQ55" s="4" t="s">
        <v>389</v>
      </c>
      <c r="AR55">
        <v>-15.723636363636365</v>
      </c>
    </row>
    <row r="56" spans="1:44" x14ac:dyDescent="0.25">
      <c r="A56" t="s">
        <v>401</v>
      </c>
      <c r="B56" t="s">
        <v>385</v>
      </c>
      <c r="C56" t="s">
        <v>392</v>
      </c>
      <c r="D56">
        <v>287.79000000000002</v>
      </c>
      <c r="E56">
        <v>6972.37</v>
      </c>
      <c r="F56">
        <v>4</v>
      </c>
      <c r="G56">
        <v>853.82</v>
      </c>
      <c r="H56" t="s">
        <v>402</v>
      </c>
      <c r="R56" s="6" t="s">
        <v>401</v>
      </c>
      <c r="S56" s="30"/>
      <c r="T56" s="30"/>
      <c r="U56" s="30"/>
      <c r="V56" s="30"/>
      <c r="W56" s="3">
        <v>2</v>
      </c>
      <c r="X56" s="3">
        <v>870.38</v>
      </c>
      <c r="Y56" s="7" t="s">
        <v>402</v>
      </c>
      <c r="AP56" s="3" t="s">
        <v>384</v>
      </c>
      <c r="AQ56" s="3" t="s">
        <v>390</v>
      </c>
      <c r="AR56">
        <v>-62.675696969696943</v>
      </c>
    </row>
    <row r="57" spans="1:44" x14ac:dyDescent="0.25">
      <c r="A57" t="s">
        <v>401</v>
      </c>
      <c r="B57" t="s">
        <v>385</v>
      </c>
      <c r="C57" t="s">
        <v>392</v>
      </c>
      <c r="D57">
        <v>287.79000000000002</v>
      </c>
      <c r="E57">
        <v>6972.37</v>
      </c>
      <c r="F57">
        <v>5</v>
      </c>
      <c r="G57">
        <v>893.87</v>
      </c>
      <c r="H57" t="s">
        <v>402</v>
      </c>
      <c r="R57" s="8" t="s">
        <v>401</v>
      </c>
      <c r="S57" s="30"/>
      <c r="T57" s="30"/>
      <c r="U57" s="30"/>
      <c r="V57" s="30"/>
      <c r="W57" s="4">
        <v>3</v>
      </c>
      <c r="X57" s="4">
        <v>863.03</v>
      </c>
      <c r="Y57" s="9" t="s">
        <v>402</v>
      </c>
      <c r="AP57" s="3" t="s">
        <v>384</v>
      </c>
      <c r="AQ57" s="3" t="s">
        <v>391</v>
      </c>
      <c r="AR57">
        <v>-33.100363636363632</v>
      </c>
    </row>
    <row r="58" spans="1:44" x14ac:dyDescent="0.25">
      <c r="A58" t="s">
        <v>401</v>
      </c>
      <c r="B58" t="s">
        <v>385</v>
      </c>
      <c r="C58" t="s">
        <v>392</v>
      </c>
      <c r="D58">
        <v>287.79000000000002</v>
      </c>
      <c r="E58">
        <v>6972.37</v>
      </c>
      <c r="F58">
        <v>6</v>
      </c>
      <c r="G58">
        <v>881.16</v>
      </c>
      <c r="H58" t="s">
        <v>402</v>
      </c>
      <c r="R58" s="6" t="s">
        <v>401</v>
      </c>
      <c r="S58" s="30"/>
      <c r="T58" s="30"/>
      <c r="U58" s="30"/>
      <c r="V58" s="30"/>
      <c r="W58" s="3">
        <v>4</v>
      </c>
      <c r="X58" s="3">
        <v>853.82</v>
      </c>
      <c r="Y58" s="7" t="s">
        <v>402</v>
      </c>
      <c r="AP58" s="4" t="s">
        <v>385</v>
      </c>
      <c r="AQ58" s="4" t="s">
        <v>389</v>
      </c>
      <c r="AR58">
        <v>-32.287696969696974</v>
      </c>
    </row>
    <row r="59" spans="1:44" x14ac:dyDescent="0.25">
      <c r="A59" t="s">
        <v>401</v>
      </c>
      <c r="B59" t="s">
        <v>385</v>
      </c>
      <c r="C59" t="s">
        <v>392</v>
      </c>
      <c r="D59">
        <v>287.79000000000002</v>
      </c>
      <c r="E59">
        <v>6972.37</v>
      </c>
      <c r="F59">
        <v>7</v>
      </c>
      <c r="G59">
        <v>874.3</v>
      </c>
      <c r="H59" t="s">
        <v>402</v>
      </c>
      <c r="R59" s="8" t="s">
        <v>401</v>
      </c>
      <c r="S59" s="30"/>
      <c r="T59" s="30"/>
      <c r="U59" s="30"/>
      <c r="V59" s="30"/>
      <c r="W59" s="4">
        <v>5</v>
      </c>
      <c r="X59" s="4">
        <v>893.87</v>
      </c>
      <c r="Y59" s="9" t="s">
        <v>402</v>
      </c>
      <c r="AP59" s="4" t="s">
        <v>385</v>
      </c>
      <c r="AQ59" s="3" t="s">
        <v>391</v>
      </c>
      <c r="AR59">
        <v>-28.429757575757574</v>
      </c>
    </row>
    <row r="60" spans="1:44" x14ac:dyDescent="0.25">
      <c r="A60" t="s">
        <v>401</v>
      </c>
      <c r="B60" t="s">
        <v>385</v>
      </c>
      <c r="C60" t="s">
        <v>392</v>
      </c>
      <c r="D60">
        <v>287.79000000000002</v>
      </c>
      <c r="E60">
        <v>6972.37</v>
      </c>
      <c r="F60">
        <v>8</v>
      </c>
      <c r="G60">
        <v>867.15</v>
      </c>
      <c r="H60" t="s">
        <v>402</v>
      </c>
      <c r="R60" s="6" t="s">
        <v>401</v>
      </c>
      <c r="S60" s="30"/>
      <c r="T60" s="30"/>
      <c r="U60" s="30"/>
      <c r="V60" s="30"/>
      <c r="W60" s="3">
        <v>6</v>
      </c>
      <c r="X60" s="3">
        <v>881.16</v>
      </c>
      <c r="Y60" s="7" t="s">
        <v>402</v>
      </c>
      <c r="AP60" s="4" t="s">
        <v>385</v>
      </c>
      <c r="AQ60" s="3" t="s">
        <v>392</v>
      </c>
      <c r="AR60">
        <v>-8.592303030303027</v>
      </c>
    </row>
    <row r="61" spans="1:44" x14ac:dyDescent="0.25">
      <c r="A61" t="s">
        <v>401</v>
      </c>
      <c r="B61" t="s">
        <v>385</v>
      </c>
      <c r="C61" t="s">
        <v>392</v>
      </c>
      <c r="D61">
        <v>287.79000000000002</v>
      </c>
      <c r="E61">
        <v>6972.37</v>
      </c>
      <c r="F61">
        <v>9</v>
      </c>
      <c r="G61">
        <v>870.87</v>
      </c>
      <c r="H61" t="s">
        <v>402</v>
      </c>
      <c r="R61" s="8" t="s">
        <v>401</v>
      </c>
      <c r="S61" s="30"/>
      <c r="T61" s="30"/>
      <c r="U61" s="30"/>
      <c r="V61" s="30"/>
      <c r="W61" s="4">
        <v>7</v>
      </c>
      <c r="X61" s="4">
        <v>874.3</v>
      </c>
      <c r="Y61" s="9" t="s">
        <v>402</v>
      </c>
      <c r="AP61" s="4" t="s">
        <v>386</v>
      </c>
      <c r="AQ61" s="4" t="s">
        <v>389</v>
      </c>
      <c r="AR61">
        <v>-2.2750909090909106</v>
      </c>
    </row>
    <row r="62" spans="1:44" x14ac:dyDescent="0.25">
      <c r="A62" t="s">
        <v>401</v>
      </c>
      <c r="B62" t="s">
        <v>385</v>
      </c>
      <c r="C62" t="s">
        <v>392</v>
      </c>
      <c r="D62">
        <v>287.79000000000002</v>
      </c>
      <c r="E62">
        <v>6972.37</v>
      </c>
      <c r="F62">
        <v>10</v>
      </c>
      <c r="G62">
        <v>902.97</v>
      </c>
      <c r="H62" t="s">
        <v>402</v>
      </c>
      <c r="R62" s="6" t="s">
        <v>401</v>
      </c>
      <c r="S62" s="30"/>
      <c r="T62" s="30"/>
      <c r="U62" s="30"/>
      <c r="V62" s="30"/>
      <c r="W62" s="3">
        <v>8</v>
      </c>
      <c r="X62" s="3">
        <v>867.15</v>
      </c>
      <c r="Y62" s="7" t="s">
        <v>402</v>
      </c>
      <c r="AP62" s="3" t="s">
        <v>387</v>
      </c>
      <c r="AQ62" s="4" t="s">
        <v>389</v>
      </c>
      <c r="AR62">
        <v>-32.698242424242423</v>
      </c>
    </row>
    <row r="63" spans="1:44" x14ac:dyDescent="0.25">
      <c r="A63" t="s">
        <v>401</v>
      </c>
      <c r="B63" t="s">
        <v>409</v>
      </c>
      <c r="C63" t="s">
        <v>389</v>
      </c>
      <c r="D63">
        <v>182.72</v>
      </c>
      <c r="E63">
        <v>723.76</v>
      </c>
      <c r="F63">
        <v>1</v>
      </c>
      <c r="G63">
        <v>209.58</v>
      </c>
      <c r="H63" t="s">
        <v>402</v>
      </c>
      <c r="R63" s="8" t="s">
        <v>401</v>
      </c>
      <c r="S63" s="30"/>
      <c r="T63" s="30"/>
      <c r="U63" s="30"/>
      <c r="V63" s="30"/>
      <c r="W63" s="4">
        <v>9</v>
      </c>
      <c r="X63" s="4">
        <v>870.87</v>
      </c>
      <c r="Y63" s="9" t="s">
        <v>402</v>
      </c>
      <c r="AP63" s="3" t="s">
        <v>387</v>
      </c>
      <c r="AQ63" s="3" t="s">
        <v>391</v>
      </c>
      <c r="AR63">
        <v>-27.009212121212112</v>
      </c>
    </row>
    <row r="64" spans="1:44" x14ac:dyDescent="0.25">
      <c r="A64" t="s">
        <v>401</v>
      </c>
      <c r="B64" t="s">
        <v>409</v>
      </c>
      <c r="C64" t="s">
        <v>389</v>
      </c>
      <c r="D64">
        <v>182.72</v>
      </c>
      <c r="E64">
        <v>723.76</v>
      </c>
      <c r="F64">
        <v>2</v>
      </c>
      <c r="G64">
        <v>175.72</v>
      </c>
      <c r="H64" t="s">
        <v>402</v>
      </c>
      <c r="R64" s="6" t="s">
        <v>401</v>
      </c>
      <c r="S64" s="32"/>
      <c r="T64" s="32"/>
      <c r="U64" s="32"/>
      <c r="V64" s="32"/>
      <c r="W64" s="3">
        <v>10</v>
      </c>
      <c r="X64" s="3">
        <v>902.97</v>
      </c>
      <c r="Y64" s="7" t="s">
        <v>402</v>
      </c>
      <c r="AP64" s="3" t="s">
        <v>387</v>
      </c>
      <c r="AQ64" s="3" t="s">
        <v>392</v>
      </c>
      <c r="AR64">
        <v>-19.440727272727273</v>
      </c>
    </row>
    <row r="65" spans="1:44" x14ac:dyDescent="0.25">
      <c r="A65" t="s">
        <v>401</v>
      </c>
      <c r="B65" t="s">
        <v>409</v>
      </c>
      <c r="C65" t="s">
        <v>389</v>
      </c>
      <c r="D65">
        <v>182.72</v>
      </c>
      <c r="E65">
        <v>723.76</v>
      </c>
      <c r="F65">
        <v>3</v>
      </c>
      <c r="G65">
        <v>168.41</v>
      </c>
      <c r="H65" t="s">
        <v>402</v>
      </c>
      <c r="R65" s="8" t="s">
        <v>401</v>
      </c>
      <c r="S65" s="31" t="s">
        <v>409</v>
      </c>
      <c r="T65" s="31" t="s">
        <v>389</v>
      </c>
      <c r="U65" s="31">
        <v>182.72</v>
      </c>
      <c r="V65" s="31">
        <v>723.76</v>
      </c>
      <c r="W65" s="4">
        <v>1</v>
      </c>
      <c r="X65" s="4">
        <v>209.58</v>
      </c>
      <c r="Y65" s="9" t="s">
        <v>402</v>
      </c>
      <c r="AP65" s="3" t="s">
        <v>388</v>
      </c>
      <c r="AQ65" s="20" t="s">
        <v>393</v>
      </c>
      <c r="AR65">
        <v>0.1632121212121212</v>
      </c>
    </row>
    <row r="66" spans="1:44" x14ac:dyDescent="0.25">
      <c r="A66" t="s">
        <v>401</v>
      </c>
      <c r="B66" t="s">
        <v>409</v>
      </c>
      <c r="C66" t="s">
        <v>389</v>
      </c>
      <c r="D66">
        <v>182.72</v>
      </c>
      <c r="E66">
        <v>723.76</v>
      </c>
      <c r="F66">
        <v>4</v>
      </c>
      <c r="G66">
        <v>171.3</v>
      </c>
      <c r="H66" t="s">
        <v>402</v>
      </c>
      <c r="R66" s="6" t="s">
        <v>401</v>
      </c>
      <c r="S66" s="30"/>
      <c r="T66" s="30"/>
      <c r="U66" s="30"/>
      <c r="V66" s="30"/>
      <c r="W66" s="3">
        <v>2</v>
      </c>
      <c r="X66" s="3">
        <v>175.72</v>
      </c>
      <c r="Y66" s="7" t="s">
        <v>402</v>
      </c>
      <c r="AP66" s="3" t="s">
        <v>388</v>
      </c>
      <c r="AQ66" s="20" t="s">
        <v>394</v>
      </c>
      <c r="AR66">
        <v>-0.35909090909090902</v>
      </c>
    </row>
    <row r="67" spans="1:44" x14ac:dyDescent="0.25">
      <c r="A67" t="s">
        <v>401</v>
      </c>
      <c r="B67" t="s">
        <v>409</v>
      </c>
      <c r="C67" t="s">
        <v>389</v>
      </c>
      <c r="D67">
        <v>182.72</v>
      </c>
      <c r="E67">
        <v>723.76</v>
      </c>
      <c r="F67">
        <v>5</v>
      </c>
      <c r="G67">
        <v>170.62</v>
      </c>
      <c r="H67" t="s">
        <v>402</v>
      </c>
      <c r="R67" s="8" t="s">
        <v>401</v>
      </c>
      <c r="S67" s="30"/>
      <c r="T67" s="30"/>
      <c r="U67" s="30"/>
      <c r="V67" s="30"/>
      <c r="W67" s="4">
        <v>3</v>
      </c>
      <c r="X67" s="4">
        <v>168.41</v>
      </c>
      <c r="Y67" s="9" t="s">
        <v>402</v>
      </c>
    </row>
    <row r="68" spans="1:44" x14ac:dyDescent="0.25">
      <c r="A68" t="s">
        <v>401</v>
      </c>
      <c r="B68" t="s">
        <v>409</v>
      </c>
      <c r="C68" t="s">
        <v>389</v>
      </c>
      <c r="D68">
        <v>182.72</v>
      </c>
      <c r="E68">
        <v>723.76</v>
      </c>
      <c r="F68">
        <v>6</v>
      </c>
      <c r="G68">
        <v>173.41</v>
      </c>
      <c r="H68" t="s">
        <v>402</v>
      </c>
      <c r="R68" s="6" t="s">
        <v>401</v>
      </c>
      <c r="S68" s="30"/>
      <c r="T68" s="30"/>
      <c r="U68" s="30"/>
      <c r="V68" s="30"/>
      <c r="W68" s="3">
        <v>4</v>
      </c>
      <c r="X68" s="3">
        <v>171.3</v>
      </c>
      <c r="Y68" s="7" t="s">
        <v>402</v>
      </c>
    </row>
    <row r="69" spans="1:44" x14ac:dyDescent="0.25">
      <c r="A69" t="s">
        <v>401</v>
      </c>
      <c r="B69" t="s">
        <v>409</v>
      </c>
      <c r="C69" t="s">
        <v>389</v>
      </c>
      <c r="D69">
        <v>182.72</v>
      </c>
      <c r="E69">
        <v>723.76</v>
      </c>
      <c r="F69">
        <v>7</v>
      </c>
      <c r="G69">
        <v>168.27</v>
      </c>
      <c r="H69" t="s">
        <v>402</v>
      </c>
      <c r="R69" s="8" t="s">
        <v>401</v>
      </c>
      <c r="S69" s="30"/>
      <c r="T69" s="30"/>
      <c r="U69" s="30"/>
      <c r="V69" s="30"/>
      <c r="W69" s="4">
        <v>5</v>
      </c>
      <c r="X69" s="4">
        <v>170.62</v>
      </c>
      <c r="Y69" s="9" t="s">
        <v>402</v>
      </c>
    </row>
    <row r="70" spans="1:44" x14ac:dyDescent="0.25">
      <c r="A70" t="s">
        <v>401</v>
      </c>
      <c r="B70" t="s">
        <v>409</v>
      </c>
      <c r="C70" t="s">
        <v>389</v>
      </c>
      <c r="D70">
        <v>182.72</v>
      </c>
      <c r="E70">
        <v>723.76</v>
      </c>
      <c r="F70">
        <v>8</v>
      </c>
      <c r="G70">
        <v>169.49</v>
      </c>
      <c r="H70" t="s">
        <v>402</v>
      </c>
      <c r="R70" s="6" t="s">
        <v>401</v>
      </c>
      <c r="S70" s="30"/>
      <c r="T70" s="30"/>
      <c r="U70" s="30"/>
      <c r="V70" s="30"/>
      <c r="W70" s="3">
        <v>6</v>
      </c>
      <c r="X70" s="3">
        <v>173.41</v>
      </c>
      <c r="Y70" s="7" t="s">
        <v>402</v>
      </c>
      <c r="AP70" s="21" t="s">
        <v>1</v>
      </c>
      <c r="AQ70" s="21" t="s">
        <v>2</v>
      </c>
      <c r="AR70" s="21" t="s">
        <v>412</v>
      </c>
    </row>
    <row r="71" spans="1:44" x14ac:dyDescent="0.25">
      <c r="A71" t="s">
        <v>401</v>
      </c>
      <c r="B71" t="s">
        <v>409</v>
      </c>
      <c r="C71" t="s">
        <v>389</v>
      </c>
      <c r="D71">
        <v>182.72</v>
      </c>
      <c r="E71">
        <v>723.76</v>
      </c>
      <c r="F71">
        <v>9</v>
      </c>
      <c r="G71">
        <v>169.6</v>
      </c>
      <c r="H71" t="s">
        <v>402</v>
      </c>
      <c r="R71" s="8" t="s">
        <v>401</v>
      </c>
      <c r="S71" s="30"/>
      <c r="T71" s="30"/>
      <c r="U71" s="30"/>
      <c r="V71" s="30"/>
      <c r="W71" s="4">
        <v>7</v>
      </c>
      <c r="X71" s="4">
        <v>168.27</v>
      </c>
      <c r="Y71" s="9" t="s">
        <v>402</v>
      </c>
      <c r="AP71" s="3" t="s">
        <v>388</v>
      </c>
      <c r="AQ71" s="3" t="s">
        <v>393</v>
      </c>
      <c r="AR71">
        <v>0.1632121212121212</v>
      </c>
    </row>
    <row r="72" spans="1:44" x14ac:dyDescent="0.25">
      <c r="A72" t="s">
        <v>401</v>
      </c>
      <c r="B72" t="s">
        <v>409</v>
      </c>
      <c r="C72" t="s">
        <v>389</v>
      </c>
      <c r="D72">
        <v>182.72</v>
      </c>
      <c r="E72">
        <v>723.76</v>
      </c>
      <c r="F72">
        <v>10</v>
      </c>
      <c r="G72">
        <v>172.73</v>
      </c>
      <c r="H72" t="s">
        <v>402</v>
      </c>
      <c r="R72" s="6" t="s">
        <v>401</v>
      </c>
      <c r="S72" s="30"/>
      <c r="T72" s="30"/>
      <c r="U72" s="30"/>
      <c r="V72" s="30"/>
      <c r="W72" s="3">
        <v>8</v>
      </c>
      <c r="X72" s="3">
        <v>169.49</v>
      </c>
      <c r="Y72" s="7" t="s">
        <v>402</v>
      </c>
      <c r="AP72" s="3" t="s">
        <v>388</v>
      </c>
      <c r="AQ72" s="3" t="s">
        <v>394</v>
      </c>
      <c r="AR72">
        <v>-0.35909090909090902</v>
      </c>
    </row>
    <row r="73" spans="1:44" ht="30" x14ac:dyDescent="0.25">
      <c r="A73" t="s">
        <v>401</v>
      </c>
      <c r="B73" t="s">
        <v>409</v>
      </c>
      <c r="C73" t="s">
        <v>391</v>
      </c>
      <c r="D73" t="s">
        <v>403</v>
      </c>
      <c r="E73" t="s">
        <v>403</v>
      </c>
      <c r="F73">
        <v>1</v>
      </c>
      <c r="G73" t="s">
        <v>403</v>
      </c>
      <c r="H73" s="17" t="s">
        <v>411</v>
      </c>
      <c r="R73" s="8" t="s">
        <v>401</v>
      </c>
      <c r="S73" s="30"/>
      <c r="T73" s="30"/>
      <c r="U73" s="30"/>
      <c r="V73" s="30"/>
      <c r="W73" s="4">
        <v>9</v>
      </c>
      <c r="X73" s="4">
        <v>169.6</v>
      </c>
      <c r="Y73" s="9" t="s">
        <v>402</v>
      </c>
      <c r="AP73" s="4" t="s">
        <v>386</v>
      </c>
      <c r="AQ73" s="4" t="s">
        <v>389</v>
      </c>
      <c r="AR73">
        <v>-2.2750909090909106</v>
      </c>
    </row>
    <row r="74" spans="1:44" x14ac:dyDescent="0.25">
      <c r="A74" t="s">
        <v>401</v>
      </c>
      <c r="B74" t="s">
        <v>408</v>
      </c>
      <c r="C74" t="s">
        <v>389</v>
      </c>
      <c r="D74">
        <v>0.34</v>
      </c>
      <c r="E74">
        <v>524.48</v>
      </c>
      <c r="F74">
        <v>1</v>
      </c>
      <c r="G74">
        <v>481.92</v>
      </c>
      <c r="H74" t="s">
        <v>402</v>
      </c>
      <c r="R74" s="6" t="s">
        <v>401</v>
      </c>
      <c r="S74" s="32"/>
      <c r="T74" s="32"/>
      <c r="U74" s="32"/>
      <c r="V74" s="32"/>
      <c r="W74" s="3">
        <v>10</v>
      </c>
      <c r="X74" s="3">
        <v>172.73</v>
      </c>
      <c r="Y74" s="7" t="s">
        <v>402</v>
      </c>
      <c r="AP74" s="4" t="s">
        <v>385</v>
      </c>
      <c r="AQ74" s="3" t="s">
        <v>392</v>
      </c>
      <c r="AR74">
        <v>-8.592303030303027</v>
      </c>
    </row>
    <row r="75" spans="1:44" ht="90" x14ac:dyDescent="0.25">
      <c r="A75" t="s">
        <v>401</v>
      </c>
      <c r="B75" t="s">
        <v>408</v>
      </c>
      <c r="C75" t="s">
        <v>389</v>
      </c>
      <c r="D75">
        <v>0.34</v>
      </c>
      <c r="E75">
        <v>524.48</v>
      </c>
      <c r="F75">
        <v>2</v>
      </c>
      <c r="G75">
        <v>145.76</v>
      </c>
      <c r="H75" t="s">
        <v>402</v>
      </c>
      <c r="R75" s="8" t="s">
        <v>401</v>
      </c>
      <c r="S75" s="4" t="s">
        <v>409</v>
      </c>
      <c r="T75" s="4" t="s">
        <v>391</v>
      </c>
      <c r="U75" s="4" t="s">
        <v>403</v>
      </c>
      <c r="V75" s="4" t="s">
        <v>403</v>
      </c>
      <c r="W75" s="4">
        <v>1</v>
      </c>
      <c r="X75" s="4" t="s">
        <v>403</v>
      </c>
      <c r="Y75" s="18" t="s">
        <v>411</v>
      </c>
      <c r="AP75" s="3" t="s">
        <v>384</v>
      </c>
      <c r="AQ75" s="4" t="s">
        <v>389</v>
      </c>
      <c r="AR75">
        <v>-15.723636363636365</v>
      </c>
    </row>
    <row r="76" spans="1:44" x14ac:dyDescent="0.25">
      <c r="A76" t="s">
        <v>401</v>
      </c>
      <c r="B76" t="s">
        <v>408</v>
      </c>
      <c r="C76" t="s">
        <v>389</v>
      </c>
      <c r="D76">
        <v>0.34</v>
      </c>
      <c r="E76">
        <v>524.48</v>
      </c>
      <c r="F76">
        <v>3</v>
      </c>
      <c r="G76">
        <v>139.75</v>
      </c>
      <c r="H76" t="s">
        <v>402</v>
      </c>
      <c r="R76" s="6" t="s">
        <v>401</v>
      </c>
      <c r="S76" s="27" t="s">
        <v>408</v>
      </c>
      <c r="T76" s="27" t="s">
        <v>389</v>
      </c>
      <c r="U76" s="27">
        <v>0.34</v>
      </c>
      <c r="V76" s="27">
        <v>524.48</v>
      </c>
      <c r="W76" s="3">
        <v>1</v>
      </c>
      <c r="X76" s="3">
        <v>481.92</v>
      </c>
      <c r="Y76" s="7" t="s">
        <v>402</v>
      </c>
      <c r="AP76" s="3" t="s">
        <v>387</v>
      </c>
      <c r="AQ76" s="3" t="s">
        <v>392</v>
      </c>
      <c r="AR76">
        <v>-19.440727272727273</v>
      </c>
    </row>
    <row r="77" spans="1:44" x14ac:dyDescent="0.25">
      <c r="A77" t="s">
        <v>401</v>
      </c>
      <c r="B77" t="s">
        <v>408</v>
      </c>
      <c r="C77" t="s">
        <v>389</v>
      </c>
      <c r="D77">
        <v>0.34</v>
      </c>
      <c r="E77">
        <v>524.48</v>
      </c>
      <c r="F77">
        <v>4</v>
      </c>
      <c r="G77">
        <v>110.35</v>
      </c>
      <c r="H77" t="s">
        <v>402</v>
      </c>
      <c r="R77" s="8" t="s">
        <v>401</v>
      </c>
      <c r="S77" s="28"/>
      <c r="T77" s="28"/>
      <c r="U77" s="28"/>
      <c r="V77" s="28"/>
      <c r="W77" s="4">
        <v>2</v>
      </c>
      <c r="X77" s="4">
        <v>145.76</v>
      </c>
      <c r="Y77" s="9" t="s">
        <v>402</v>
      </c>
      <c r="AP77" s="3" t="s">
        <v>387</v>
      </c>
      <c r="AQ77" s="3" t="s">
        <v>391</v>
      </c>
      <c r="AR77">
        <v>-27.009212121212112</v>
      </c>
    </row>
    <row r="78" spans="1:44" x14ac:dyDescent="0.25">
      <c r="A78" t="s">
        <v>401</v>
      </c>
      <c r="B78" t="s">
        <v>408</v>
      </c>
      <c r="C78" t="s">
        <v>389</v>
      </c>
      <c r="D78">
        <v>0.34</v>
      </c>
      <c r="E78">
        <v>524.48</v>
      </c>
      <c r="F78">
        <v>5</v>
      </c>
      <c r="G78">
        <v>96.37</v>
      </c>
      <c r="H78" t="s">
        <v>402</v>
      </c>
      <c r="R78" s="6" t="s">
        <v>401</v>
      </c>
      <c r="S78" s="28"/>
      <c r="T78" s="28"/>
      <c r="U78" s="28"/>
      <c r="V78" s="28"/>
      <c r="W78" s="3">
        <v>3</v>
      </c>
      <c r="X78" s="3">
        <v>139.75</v>
      </c>
      <c r="Y78" s="7" t="s">
        <v>402</v>
      </c>
      <c r="AP78" s="4" t="s">
        <v>385</v>
      </c>
      <c r="AQ78" s="3" t="s">
        <v>391</v>
      </c>
      <c r="AR78">
        <v>-28.429757575757574</v>
      </c>
    </row>
    <row r="79" spans="1:44" x14ac:dyDescent="0.25">
      <c r="A79" t="s">
        <v>401</v>
      </c>
      <c r="B79" t="s">
        <v>408</v>
      </c>
      <c r="C79" t="s">
        <v>389</v>
      </c>
      <c r="D79">
        <v>0.34</v>
      </c>
      <c r="E79">
        <v>524.48</v>
      </c>
      <c r="F79">
        <v>6</v>
      </c>
      <c r="G79">
        <v>94.36</v>
      </c>
      <c r="H79" t="s">
        <v>402</v>
      </c>
      <c r="R79" s="8" t="s">
        <v>401</v>
      </c>
      <c r="S79" s="28"/>
      <c r="T79" s="28"/>
      <c r="U79" s="28"/>
      <c r="V79" s="28"/>
      <c r="W79" s="4">
        <v>4</v>
      </c>
      <c r="X79" s="4">
        <v>110.35</v>
      </c>
      <c r="Y79" s="9" t="s">
        <v>402</v>
      </c>
      <c r="AP79" s="4" t="s">
        <v>385</v>
      </c>
      <c r="AQ79" s="4" t="s">
        <v>389</v>
      </c>
      <c r="AR79">
        <v>-32.287696969696974</v>
      </c>
    </row>
    <row r="80" spans="1:44" x14ac:dyDescent="0.25">
      <c r="A80" t="s">
        <v>401</v>
      </c>
      <c r="B80" t="s">
        <v>408</v>
      </c>
      <c r="C80" t="s">
        <v>389</v>
      </c>
      <c r="D80">
        <v>0.34</v>
      </c>
      <c r="E80">
        <v>524.48</v>
      </c>
      <c r="F80">
        <v>7</v>
      </c>
      <c r="G80">
        <v>82.99</v>
      </c>
      <c r="H80" t="s">
        <v>402</v>
      </c>
      <c r="R80" s="6" t="s">
        <v>401</v>
      </c>
      <c r="S80" s="28"/>
      <c r="T80" s="28"/>
      <c r="U80" s="28"/>
      <c r="V80" s="28"/>
      <c r="W80" s="3">
        <v>5</v>
      </c>
      <c r="X80" s="3">
        <v>96.37</v>
      </c>
      <c r="Y80" s="7" t="s">
        <v>402</v>
      </c>
      <c r="AP80" s="3" t="s">
        <v>387</v>
      </c>
      <c r="AQ80" s="4" t="s">
        <v>389</v>
      </c>
      <c r="AR80">
        <v>-32.698242424242423</v>
      </c>
    </row>
    <row r="81" spans="1:44" x14ac:dyDescent="0.25">
      <c r="A81" t="s">
        <v>401</v>
      </c>
      <c r="B81" t="s">
        <v>408</v>
      </c>
      <c r="C81" t="s">
        <v>389</v>
      </c>
      <c r="D81">
        <v>0.34</v>
      </c>
      <c r="E81">
        <v>524.48</v>
      </c>
      <c r="F81">
        <v>8</v>
      </c>
      <c r="G81">
        <v>95.97</v>
      </c>
      <c r="H81" t="s">
        <v>402</v>
      </c>
      <c r="R81" s="8" t="s">
        <v>401</v>
      </c>
      <c r="S81" s="28"/>
      <c r="T81" s="28"/>
      <c r="U81" s="28"/>
      <c r="V81" s="28"/>
      <c r="W81" s="4">
        <v>6</v>
      </c>
      <c r="X81" s="4">
        <v>94.36</v>
      </c>
      <c r="Y81" s="9" t="s">
        <v>402</v>
      </c>
      <c r="AP81" s="3" t="s">
        <v>384</v>
      </c>
      <c r="AQ81" s="20" t="s">
        <v>391</v>
      </c>
      <c r="AR81">
        <v>-33.100363636363632</v>
      </c>
    </row>
    <row r="82" spans="1:44" x14ac:dyDescent="0.25">
      <c r="A82" t="s">
        <v>401</v>
      </c>
      <c r="B82" t="s">
        <v>408</v>
      </c>
      <c r="C82" t="s">
        <v>389</v>
      </c>
      <c r="D82">
        <v>0.34</v>
      </c>
      <c r="E82">
        <v>524.48</v>
      </c>
      <c r="F82">
        <v>9</v>
      </c>
      <c r="G82">
        <v>18.78</v>
      </c>
      <c r="H82" t="s">
        <v>402</v>
      </c>
      <c r="R82" s="6" t="s">
        <v>401</v>
      </c>
      <c r="S82" s="28"/>
      <c r="T82" s="28"/>
      <c r="U82" s="28"/>
      <c r="V82" s="28"/>
      <c r="W82" s="3">
        <v>7</v>
      </c>
      <c r="X82" s="3">
        <v>82.99</v>
      </c>
      <c r="Y82" s="7" t="s">
        <v>402</v>
      </c>
      <c r="AP82" s="3" t="s">
        <v>384</v>
      </c>
      <c r="AQ82" s="20" t="s">
        <v>390</v>
      </c>
      <c r="AR82">
        <v>-62.675696969696943</v>
      </c>
    </row>
    <row r="83" spans="1:44" x14ac:dyDescent="0.25">
      <c r="A83" t="s">
        <v>401</v>
      </c>
      <c r="B83" t="s">
        <v>408</v>
      </c>
      <c r="C83" t="s">
        <v>389</v>
      </c>
      <c r="D83">
        <v>0.34</v>
      </c>
      <c r="E83">
        <v>524.48</v>
      </c>
      <c r="F83">
        <v>10</v>
      </c>
      <c r="G83">
        <v>14.88</v>
      </c>
      <c r="H83" t="s">
        <v>402</v>
      </c>
      <c r="R83" s="8" t="s">
        <v>401</v>
      </c>
      <c r="S83" s="28"/>
      <c r="T83" s="28"/>
      <c r="U83" s="28"/>
      <c r="V83" s="28"/>
      <c r="W83" s="4">
        <v>8</v>
      </c>
      <c r="X83" s="4">
        <v>95.97</v>
      </c>
      <c r="Y83" s="9" t="s">
        <v>402</v>
      </c>
    </row>
    <row r="84" spans="1:44" x14ac:dyDescent="0.25">
      <c r="A84" t="s">
        <v>401</v>
      </c>
      <c r="B84" t="s">
        <v>408</v>
      </c>
      <c r="C84" t="s">
        <v>391</v>
      </c>
      <c r="D84">
        <v>0.3</v>
      </c>
      <c r="E84">
        <v>996.55</v>
      </c>
      <c r="F84">
        <v>1</v>
      </c>
      <c r="G84">
        <v>519.41999999999996</v>
      </c>
      <c r="H84" t="s">
        <v>402</v>
      </c>
      <c r="R84" s="6" t="s">
        <v>401</v>
      </c>
      <c r="S84" s="28"/>
      <c r="T84" s="28"/>
      <c r="U84" s="28"/>
      <c r="V84" s="28"/>
      <c r="W84" s="3">
        <v>9</v>
      </c>
      <c r="X84" s="3">
        <v>18.78</v>
      </c>
      <c r="Y84" s="7" t="s">
        <v>402</v>
      </c>
    </row>
    <row r="85" spans="1:44" x14ac:dyDescent="0.25">
      <c r="A85" t="s">
        <v>401</v>
      </c>
      <c r="B85" t="s">
        <v>408</v>
      </c>
      <c r="C85" t="s">
        <v>391</v>
      </c>
      <c r="D85">
        <v>0.3</v>
      </c>
      <c r="E85">
        <v>996.55</v>
      </c>
      <c r="F85">
        <v>2</v>
      </c>
      <c r="G85">
        <v>34.340000000000003</v>
      </c>
      <c r="H85" t="s">
        <v>402</v>
      </c>
      <c r="R85" s="8" t="s">
        <v>401</v>
      </c>
      <c r="S85" s="29"/>
      <c r="T85" s="29"/>
      <c r="U85" s="29"/>
      <c r="V85" s="29"/>
      <c r="W85" s="4">
        <v>10</v>
      </c>
      <c r="X85" s="4">
        <v>14.88</v>
      </c>
      <c r="Y85" s="9" t="s">
        <v>402</v>
      </c>
    </row>
    <row r="86" spans="1:44" x14ac:dyDescent="0.25">
      <c r="A86" t="s">
        <v>401</v>
      </c>
      <c r="B86" t="s">
        <v>408</v>
      </c>
      <c r="C86" t="s">
        <v>391</v>
      </c>
      <c r="D86">
        <v>0.3</v>
      </c>
      <c r="E86">
        <v>996.55</v>
      </c>
      <c r="F86">
        <v>3</v>
      </c>
      <c r="G86">
        <v>29.52</v>
      </c>
      <c r="H86" t="s">
        <v>402</v>
      </c>
      <c r="R86" s="6" t="s">
        <v>401</v>
      </c>
      <c r="S86" s="27" t="s">
        <v>408</v>
      </c>
      <c r="T86" s="27" t="s">
        <v>391</v>
      </c>
      <c r="U86" s="27">
        <v>0.3</v>
      </c>
      <c r="V86" s="27">
        <v>996.55</v>
      </c>
      <c r="W86" s="3">
        <v>1</v>
      </c>
      <c r="X86" s="3">
        <v>519.41999999999996</v>
      </c>
      <c r="Y86" s="7" t="s">
        <v>402</v>
      </c>
    </row>
    <row r="87" spans="1:44" x14ac:dyDescent="0.25">
      <c r="A87" t="s">
        <v>401</v>
      </c>
      <c r="B87" t="s">
        <v>408</v>
      </c>
      <c r="C87" t="s">
        <v>391</v>
      </c>
      <c r="D87">
        <v>0.3</v>
      </c>
      <c r="E87">
        <v>996.55</v>
      </c>
      <c r="F87">
        <v>4</v>
      </c>
      <c r="G87">
        <v>37.619999999999997</v>
      </c>
      <c r="H87" t="s">
        <v>402</v>
      </c>
      <c r="R87" s="8" t="s">
        <v>401</v>
      </c>
      <c r="S87" s="28"/>
      <c r="T87" s="28"/>
      <c r="U87" s="28"/>
      <c r="V87" s="28"/>
      <c r="W87" s="4">
        <v>2</v>
      </c>
      <c r="X87" s="4">
        <v>34.340000000000003</v>
      </c>
      <c r="Y87" s="9" t="s">
        <v>402</v>
      </c>
    </row>
    <row r="88" spans="1:44" x14ac:dyDescent="0.25">
      <c r="A88" t="s">
        <v>401</v>
      </c>
      <c r="B88" t="s">
        <v>408</v>
      </c>
      <c r="C88" t="s">
        <v>391</v>
      </c>
      <c r="D88">
        <v>0.3</v>
      </c>
      <c r="E88">
        <v>996.55</v>
      </c>
      <c r="F88">
        <v>5</v>
      </c>
      <c r="G88">
        <v>30.95</v>
      </c>
      <c r="H88" t="s">
        <v>402</v>
      </c>
      <c r="R88" s="6" t="s">
        <v>401</v>
      </c>
      <c r="S88" s="28"/>
      <c r="T88" s="28"/>
      <c r="U88" s="28"/>
      <c r="V88" s="28"/>
      <c r="W88" s="3">
        <v>3</v>
      </c>
      <c r="X88" s="3">
        <v>29.52</v>
      </c>
      <c r="Y88" s="7" t="s">
        <v>402</v>
      </c>
    </row>
    <row r="89" spans="1:44" x14ac:dyDescent="0.25">
      <c r="A89" t="s">
        <v>401</v>
      </c>
      <c r="B89" t="s">
        <v>408</v>
      </c>
      <c r="C89" t="s">
        <v>391</v>
      </c>
      <c r="D89">
        <v>0.3</v>
      </c>
      <c r="E89">
        <v>996.55</v>
      </c>
      <c r="F89">
        <v>6</v>
      </c>
      <c r="G89">
        <v>28.48</v>
      </c>
      <c r="H89" t="s">
        <v>402</v>
      </c>
      <c r="R89" s="8" t="s">
        <v>401</v>
      </c>
      <c r="S89" s="28"/>
      <c r="T89" s="28"/>
      <c r="U89" s="28"/>
      <c r="V89" s="28"/>
      <c r="W89" s="4">
        <v>4</v>
      </c>
      <c r="X89" s="4">
        <v>37.619999999999997</v>
      </c>
      <c r="Y89" s="9" t="s">
        <v>402</v>
      </c>
    </row>
    <row r="90" spans="1:44" x14ac:dyDescent="0.25">
      <c r="A90" t="s">
        <v>401</v>
      </c>
      <c r="B90" t="s">
        <v>408</v>
      </c>
      <c r="C90" t="s">
        <v>391</v>
      </c>
      <c r="D90">
        <v>0.3</v>
      </c>
      <c r="E90">
        <v>996.55</v>
      </c>
      <c r="F90">
        <v>7</v>
      </c>
      <c r="G90">
        <v>28.95</v>
      </c>
      <c r="H90" t="s">
        <v>402</v>
      </c>
      <c r="R90" s="6" t="s">
        <v>401</v>
      </c>
      <c r="S90" s="28"/>
      <c r="T90" s="28"/>
      <c r="U90" s="28"/>
      <c r="V90" s="28"/>
      <c r="W90" s="3">
        <v>5</v>
      </c>
      <c r="X90" s="3">
        <v>30.95</v>
      </c>
      <c r="Y90" s="7" t="s">
        <v>402</v>
      </c>
    </row>
    <row r="91" spans="1:44" x14ac:dyDescent="0.25">
      <c r="A91" t="s">
        <v>401</v>
      </c>
      <c r="B91" t="s">
        <v>408</v>
      </c>
      <c r="C91" t="s">
        <v>391</v>
      </c>
      <c r="D91">
        <v>0.3</v>
      </c>
      <c r="E91">
        <v>996.55</v>
      </c>
      <c r="F91">
        <v>8</v>
      </c>
      <c r="G91">
        <v>34.53</v>
      </c>
      <c r="H91" t="s">
        <v>402</v>
      </c>
      <c r="R91" s="8" t="s">
        <v>401</v>
      </c>
      <c r="S91" s="28"/>
      <c r="T91" s="28"/>
      <c r="U91" s="28"/>
      <c r="V91" s="28"/>
      <c r="W91" s="4">
        <v>6</v>
      </c>
      <c r="X91" s="4">
        <v>28.48</v>
      </c>
      <c r="Y91" s="9" t="s">
        <v>402</v>
      </c>
    </row>
    <row r="92" spans="1:44" x14ac:dyDescent="0.25">
      <c r="A92" t="s">
        <v>401</v>
      </c>
      <c r="B92" t="s">
        <v>408</v>
      </c>
      <c r="C92" t="s">
        <v>391</v>
      </c>
      <c r="D92">
        <v>0.3</v>
      </c>
      <c r="E92">
        <v>996.55</v>
      </c>
      <c r="F92">
        <v>9</v>
      </c>
      <c r="G92">
        <v>24.7</v>
      </c>
      <c r="H92" t="s">
        <v>402</v>
      </c>
      <c r="R92" s="6" t="s">
        <v>401</v>
      </c>
      <c r="S92" s="28"/>
      <c r="T92" s="28"/>
      <c r="U92" s="28"/>
      <c r="V92" s="28"/>
      <c r="W92" s="3">
        <v>7</v>
      </c>
      <c r="X92" s="3">
        <v>28.95</v>
      </c>
      <c r="Y92" s="7" t="s">
        <v>402</v>
      </c>
    </row>
    <row r="93" spans="1:44" x14ac:dyDescent="0.25">
      <c r="A93" t="s">
        <v>401</v>
      </c>
      <c r="B93" t="s">
        <v>408</v>
      </c>
      <c r="C93" t="s">
        <v>391</v>
      </c>
      <c r="D93">
        <v>0.3</v>
      </c>
      <c r="E93">
        <v>996.55</v>
      </c>
      <c r="F93">
        <v>10</v>
      </c>
      <c r="G93">
        <v>32.130000000000003</v>
      </c>
      <c r="H93" t="s">
        <v>402</v>
      </c>
      <c r="R93" s="8" t="s">
        <v>401</v>
      </c>
      <c r="S93" s="28"/>
      <c r="T93" s="28"/>
      <c r="U93" s="28"/>
      <c r="V93" s="28"/>
      <c r="W93" s="4">
        <v>8</v>
      </c>
      <c r="X93" s="4">
        <v>34.53</v>
      </c>
      <c r="Y93" s="9" t="s">
        <v>402</v>
      </c>
    </row>
    <row r="94" spans="1:44" x14ac:dyDescent="0.25">
      <c r="A94" t="s">
        <v>401</v>
      </c>
      <c r="B94" t="s">
        <v>408</v>
      </c>
      <c r="C94" t="s">
        <v>392</v>
      </c>
      <c r="D94">
        <v>0.42</v>
      </c>
      <c r="E94">
        <v>771.58</v>
      </c>
      <c r="F94">
        <v>1</v>
      </c>
      <c r="G94">
        <v>445.26</v>
      </c>
      <c r="H94" t="s">
        <v>402</v>
      </c>
      <c r="R94" s="6" t="s">
        <v>401</v>
      </c>
      <c r="S94" s="28"/>
      <c r="T94" s="28"/>
      <c r="U94" s="28"/>
      <c r="V94" s="28"/>
      <c r="W94" s="3">
        <v>9</v>
      </c>
      <c r="X94" s="3">
        <v>24.7</v>
      </c>
      <c r="Y94" s="7" t="s">
        <v>402</v>
      </c>
    </row>
    <row r="95" spans="1:44" x14ac:dyDescent="0.25">
      <c r="A95" t="s">
        <v>401</v>
      </c>
      <c r="B95" t="s">
        <v>408</v>
      </c>
      <c r="C95" t="s">
        <v>392</v>
      </c>
      <c r="D95">
        <v>0.42</v>
      </c>
      <c r="E95">
        <v>771.58</v>
      </c>
      <c r="F95">
        <v>2</v>
      </c>
      <c r="G95">
        <v>100.58</v>
      </c>
      <c r="H95" t="s">
        <v>402</v>
      </c>
      <c r="R95" s="8" t="s">
        <v>401</v>
      </c>
      <c r="S95" s="29"/>
      <c r="T95" s="29"/>
      <c r="U95" s="29"/>
      <c r="V95" s="29"/>
      <c r="W95" s="4">
        <v>10</v>
      </c>
      <c r="X95" s="4">
        <v>32.130000000000003</v>
      </c>
      <c r="Y95" s="9" t="s">
        <v>402</v>
      </c>
    </row>
    <row r="96" spans="1:44" x14ac:dyDescent="0.25">
      <c r="A96" t="s">
        <v>401</v>
      </c>
      <c r="B96" t="s">
        <v>408</v>
      </c>
      <c r="C96" t="s">
        <v>392</v>
      </c>
      <c r="D96">
        <v>0.42</v>
      </c>
      <c r="E96">
        <v>771.58</v>
      </c>
      <c r="F96">
        <v>3</v>
      </c>
      <c r="G96">
        <v>132.21</v>
      </c>
      <c r="H96" t="s">
        <v>402</v>
      </c>
      <c r="R96" s="6" t="s">
        <v>401</v>
      </c>
      <c r="S96" s="27" t="s">
        <v>408</v>
      </c>
      <c r="T96" s="27" t="s">
        <v>392</v>
      </c>
      <c r="U96" s="27">
        <v>0.42</v>
      </c>
      <c r="V96" s="27">
        <v>771.58</v>
      </c>
      <c r="W96" s="3">
        <v>1</v>
      </c>
      <c r="X96" s="3">
        <v>445.26</v>
      </c>
      <c r="Y96" s="7" t="s">
        <v>402</v>
      </c>
    </row>
    <row r="97" spans="1:25" x14ac:dyDescent="0.25">
      <c r="A97" t="s">
        <v>401</v>
      </c>
      <c r="B97" t="s">
        <v>408</v>
      </c>
      <c r="C97" t="s">
        <v>392</v>
      </c>
      <c r="D97">
        <v>0.42</v>
      </c>
      <c r="E97">
        <v>771.58</v>
      </c>
      <c r="F97">
        <v>4</v>
      </c>
      <c r="G97">
        <v>97.21</v>
      </c>
      <c r="H97" t="s">
        <v>402</v>
      </c>
      <c r="R97" s="8" t="s">
        <v>401</v>
      </c>
      <c r="S97" s="28"/>
      <c r="T97" s="28"/>
      <c r="U97" s="28"/>
      <c r="V97" s="28"/>
      <c r="W97" s="4">
        <v>2</v>
      </c>
      <c r="X97" s="4">
        <v>100.58</v>
      </c>
      <c r="Y97" s="9" t="s">
        <v>402</v>
      </c>
    </row>
    <row r="98" spans="1:25" x14ac:dyDescent="0.25">
      <c r="A98" t="s">
        <v>401</v>
      </c>
      <c r="B98" t="s">
        <v>408</v>
      </c>
      <c r="C98" t="s">
        <v>392</v>
      </c>
      <c r="D98">
        <v>0.42</v>
      </c>
      <c r="E98">
        <v>771.58</v>
      </c>
      <c r="F98">
        <v>5</v>
      </c>
      <c r="G98">
        <v>95.05</v>
      </c>
      <c r="H98" t="s">
        <v>402</v>
      </c>
      <c r="R98" s="6" t="s">
        <v>401</v>
      </c>
      <c r="S98" s="28"/>
      <c r="T98" s="28"/>
      <c r="U98" s="28"/>
      <c r="V98" s="28"/>
      <c r="W98" s="3">
        <v>3</v>
      </c>
      <c r="X98" s="3">
        <v>132.21</v>
      </c>
      <c r="Y98" s="7" t="s">
        <v>402</v>
      </c>
    </row>
    <row r="99" spans="1:25" x14ac:dyDescent="0.25">
      <c r="A99" t="s">
        <v>401</v>
      </c>
      <c r="B99" t="s">
        <v>408</v>
      </c>
      <c r="C99" t="s">
        <v>392</v>
      </c>
      <c r="D99">
        <v>0.42</v>
      </c>
      <c r="E99">
        <v>771.58</v>
      </c>
      <c r="F99">
        <v>6</v>
      </c>
      <c r="G99">
        <v>99.27</v>
      </c>
      <c r="H99" t="s">
        <v>402</v>
      </c>
      <c r="R99" s="8" t="s">
        <v>401</v>
      </c>
      <c r="S99" s="28"/>
      <c r="T99" s="28"/>
      <c r="U99" s="28"/>
      <c r="V99" s="28"/>
      <c r="W99" s="4">
        <v>4</v>
      </c>
      <c r="X99" s="4">
        <v>97.21</v>
      </c>
      <c r="Y99" s="9" t="s">
        <v>402</v>
      </c>
    </row>
    <row r="100" spans="1:25" x14ac:dyDescent="0.25">
      <c r="A100" t="s">
        <v>401</v>
      </c>
      <c r="B100" t="s">
        <v>408</v>
      </c>
      <c r="C100" t="s">
        <v>392</v>
      </c>
      <c r="D100">
        <v>0.42</v>
      </c>
      <c r="E100">
        <v>771.58</v>
      </c>
      <c r="F100">
        <v>7</v>
      </c>
      <c r="G100">
        <v>100.39</v>
      </c>
      <c r="H100" t="s">
        <v>402</v>
      </c>
      <c r="R100" s="6" t="s">
        <v>401</v>
      </c>
      <c r="S100" s="28"/>
      <c r="T100" s="28"/>
      <c r="U100" s="28"/>
      <c r="V100" s="28"/>
      <c r="W100" s="3">
        <v>5</v>
      </c>
      <c r="X100" s="3">
        <v>95.05</v>
      </c>
      <c r="Y100" s="7" t="s">
        <v>402</v>
      </c>
    </row>
    <row r="101" spans="1:25" x14ac:dyDescent="0.25">
      <c r="A101" t="s">
        <v>401</v>
      </c>
      <c r="B101" t="s">
        <v>408</v>
      </c>
      <c r="C101" t="s">
        <v>392</v>
      </c>
      <c r="D101">
        <v>0.42</v>
      </c>
      <c r="E101">
        <v>771.58</v>
      </c>
      <c r="F101">
        <v>8</v>
      </c>
      <c r="G101">
        <v>102.23</v>
      </c>
      <c r="H101" t="s">
        <v>402</v>
      </c>
      <c r="R101" s="8" t="s">
        <v>401</v>
      </c>
      <c r="S101" s="28"/>
      <c r="T101" s="28"/>
      <c r="U101" s="28"/>
      <c r="V101" s="28"/>
      <c r="W101" s="4">
        <v>6</v>
      </c>
      <c r="X101" s="4">
        <v>99.27</v>
      </c>
      <c r="Y101" s="9" t="s">
        <v>402</v>
      </c>
    </row>
    <row r="102" spans="1:25" x14ac:dyDescent="0.25">
      <c r="A102" t="s">
        <v>401</v>
      </c>
      <c r="B102" t="s">
        <v>408</v>
      </c>
      <c r="C102" t="s">
        <v>392</v>
      </c>
      <c r="D102">
        <v>0.42</v>
      </c>
      <c r="E102">
        <v>771.58</v>
      </c>
      <c r="F102">
        <v>9</v>
      </c>
      <c r="G102">
        <v>95.93</v>
      </c>
      <c r="H102" t="s">
        <v>402</v>
      </c>
      <c r="R102" s="6" t="s">
        <v>401</v>
      </c>
      <c r="S102" s="28"/>
      <c r="T102" s="28"/>
      <c r="U102" s="28"/>
      <c r="V102" s="28"/>
      <c r="W102" s="3">
        <v>7</v>
      </c>
      <c r="X102" s="3">
        <v>100.39</v>
      </c>
      <c r="Y102" s="7" t="s">
        <v>402</v>
      </c>
    </row>
    <row r="103" spans="1:25" x14ac:dyDescent="0.25">
      <c r="A103" t="s">
        <v>401</v>
      </c>
      <c r="B103" t="s">
        <v>408</v>
      </c>
      <c r="C103" t="s">
        <v>392</v>
      </c>
      <c r="D103">
        <v>0.42</v>
      </c>
      <c r="E103">
        <v>771.58</v>
      </c>
      <c r="F103">
        <v>10</v>
      </c>
      <c r="G103">
        <v>107.59</v>
      </c>
      <c r="H103" t="s">
        <v>402</v>
      </c>
      <c r="R103" s="8" t="s">
        <v>401</v>
      </c>
      <c r="S103" s="28"/>
      <c r="T103" s="28"/>
      <c r="U103" s="28"/>
      <c r="V103" s="28"/>
      <c r="W103" s="4">
        <v>8</v>
      </c>
      <c r="X103" s="4">
        <v>102.23</v>
      </c>
      <c r="Y103" s="9" t="s">
        <v>402</v>
      </c>
    </row>
    <row r="104" spans="1:25" x14ac:dyDescent="0.25">
      <c r="A104" t="s">
        <v>401</v>
      </c>
      <c r="B104" t="s">
        <v>388</v>
      </c>
      <c r="C104" t="s">
        <v>393</v>
      </c>
      <c r="D104">
        <v>0.3</v>
      </c>
      <c r="E104">
        <v>134.86000000000001</v>
      </c>
      <c r="F104">
        <v>1</v>
      </c>
      <c r="G104">
        <v>27.94</v>
      </c>
      <c r="H104" t="s">
        <v>402</v>
      </c>
      <c r="R104" s="6" t="s">
        <v>401</v>
      </c>
      <c r="S104" s="28"/>
      <c r="T104" s="28"/>
      <c r="U104" s="28"/>
      <c r="V104" s="28"/>
      <c r="W104" s="3">
        <v>9</v>
      </c>
      <c r="X104" s="3">
        <v>95.93</v>
      </c>
      <c r="Y104" s="7" t="s">
        <v>402</v>
      </c>
    </row>
    <row r="105" spans="1:25" x14ac:dyDescent="0.25">
      <c r="A105" t="s">
        <v>401</v>
      </c>
      <c r="B105" t="s">
        <v>388</v>
      </c>
      <c r="C105" t="s">
        <v>393</v>
      </c>
      <c r="D105">
        <v>0.3</v>
      </c>
      <c r="E105">
        <v>134.86000000000001</v>
      </c>
      <c r="F105">
        <v>2</v>
      </c>
      <c r="G105">
        <v>27.77</v>
      </c>
      <c r="H105" t="s">
        <v>402</v>
      </c>
      <c r="R105" s="8" t="s">
        <v>401</v>
      </c>
      <c r="S105" s="29"/>
      <c r="T105" s="29"/>
      <c r="U105" s="29"/>
      <c r="V105" s="29"/>
      <c r="W105" s="4">
        <v>10</v>
      </c>
      <c r="X105" s="4">
        <v>107.59</v>
      </c>
      <c r="Y105" s="9" t="s">
        <v>402</v>
      </c>
    </row>
    <row r="106" spans="1:25" x14ac:dyDescent="0.25">
      <c r="A106" t="s">
        <v>401</v>
      </c>
      <c r="B106" t="s">
        <v>388</v>
      </c>
      <c r="C106" t="s">
        <v>393</v>
      </c>
      <c r="D106">
        <v>0.3</v>
      </c>
      <c r="E106">
        <v>134.86000000000001</v>
      </c>
      <c r="F106">
        <v>3</v>
      </c>
      <c r="G106">
        <v>27.33</v>
      </c>
      <c r="H106" t="s">
        <v>402</v>
      </c>
      <c r="R106" s="6" t="s">
        <v>401</v>
      </c>
      <c r="S106" s="27" t="s">
        <v>388</v>
      </c>
      <c r="T106" s="27" t="s">
        <v>393</v>
      </c>
      <c r="U106" s="27">
        <v>0.3</v>
      </c>
      <c r="V106" s="27">
        <v>134.86000000000001</v>
      </c>
      <c r="W106" s="3">
        <v>1</v>
      </c>
      <c r="X106" s="3">
        <v>27.94</v>
      </c>
      <c r="Y106" s="7" t="s">
        <v>402</v>
      </c>
    </row>
    <row r="107" spans="1:25" x14ac:dyDescent="0.25">
      <c r="A107" t="s">
        <v>401</v>
      </c>
      <c r="B107" t="s">
        <v>388</v>
      </c>
      <c r="C107" t="s">
        <v>393</v>
      </c>
      <c r="D107">
        <v>0.3</v>
      </c>
      <c r="E107">
        <v>134.86000000000001</v>
      </c>
      <c r="F107">
        <v>4</v>
      </c>
      <c r="G107">
        <v>28.37</v>
      </c>
      <c r="H107" t="s">
        <v>402</v>
      </c>
      <c r="R107" s="8" t="s">
        <v>401</v>
      </c>
      <c r="S107" s="28"/>
      <c r="T107" s="28"/>
      <c r="U107" s="28"/>
      <c r="V107" s="28"/>
      <c r="W107" s="4">
        <v>2</v>
      </c>
      <c r="X107" s="4">
        <v>27.77</v>
      </c>
      <c r="Y107" s="9" t="s">
        <v>402</v>
      </c>
    </row>
    <row r="108" spans="1:25" x14ac:dyDescent="0.25">
      <c r="A108" t="s">
        <v>401</v>
      </c>
      <c r="B108" t="s">
        <v>388</v>
      </c>
      <c r="C108" t="s">
        <v>393</v>
      </c>
      <c r="D108">
        <v>0.3</v>
      </c>
      <c r="E108">
        <v>134.86000000000001</v>
      </c>
      <c r="F108">
        <v>5</v>
      </c>
      <c r="G108">
        <v>28.48</v>
      </c>
      <c r="H108" t="s">
        <v>402</v>
      </c>
      <c r="R108" s="6" t="s">
        <v>401</v>
      </c>
      <c r="S108" s="28"/>
      <c r="T108" s="28"/>
      <c r="U108" s="28"/>
      <c r="V108" s="28"/>
      <c r="W108" s="3">
        <v>3</v>
      </c>
      <c r="X108" s="3">
        <v>27.33</v>
      </c>
      <c r="Y108" s="7" t="s">
        <v>402</v>
      </c>
    </row>
    <row r="109" spans="1:25" x14ac:dyDescent="0.25">
      <c r="A109" t="s">
        <v>401</v>
      </c>
      <c r="B109" t="s">
        <v>388</v>
      </c>
      <c r="C109" t="s">
        <v>393</v>
      </c>
      <c r="D109">
        <v>0.3</v>
      </c>
      <c r="E109">
        <v>134.86000000000001</v>
      </c>
      <c r="F109">
        <v>6</v>
      </c>
      <c r="G109">
        <v>31.94</v>
      </c>
      <c r="H109" t="s">
        <v>402</v>
      </c>
      <c r="R109" s="8" t="s">
        <v>401</v>
      </c>
      <c r="S109" s="28"/>
      <c r="T109" s="28"/>
      <c r="U109" s="28"/>
      <c r="V109" s="28"/>
      <c r="W109" s="4">
        <v>4</v>
      </c>
      <c r="X109" s="4">
        <v>28.37</v>
      </c>
      <c r="Y109" s="9" t="s">
        <v>402</v>
      </c>
    </row>
    <row r="110" spans="1:25" x14ac:dyDescent="0.25">
      <c r="A110" t="s">
        <v>401</v>
      </c>
      <c r="B110" t="s">
        <v>388</v>
      </c>
      <c r="C110" t="s">
        <v>393</v>
      </c>
      <c r="D110">
        <v>0.3</v>
      </c>
      <c r="E110">
        <v>134.86000000000001</v>
      </c>
      <c r="F110">
        <v>7</v>
      </c>
      <c r="G110">
        <v>27.92</v>
      </c>
      <c r="H110" t="s">
        <v>402</v>
      </c>
      <c r="R110" s="6" t="s">
        <v>401</v>
      </c>
      <c r="S110" s="28"/>
      <c r="T110" s="28"/>
      <c r="U110" s="28"/>
      <c r="V110" s="28"/>
      <c r="W110" s="3">
        <v>5</v>
      </c>
      <c r="X110" s="3">
        <v>28.48</v>
      </c>
      <c r="Y110" s="7" t="s">
        <v>402</v>
      </c>
    </row>
    <row r="111" spans="1:25" x14ac:dyDescent="0.25">
      <c r="A111" t="s">
        <v>401</v>
      </c>
      <c r="B111" t="s">
        <v>388</v>
      </c>
      <c r="C111" t="s">
        <v>393</v>
      </c>
      <c r="D111">
        <v>0.3</v>
      </c>
      <c r="E111">
        <v>134.86000000000001</v>
      </c>
      <c r="F111">
        <v>8</v>
      </c>
      <c r="G111">
        <v>30.18</v>
      </c>
      <c r="H111" t="s">
        <v>402</v>
      </c>
      <c r="R111" s="8" t="s">
        <v>401</v>
      </c>
      <c r="S111" s="28"/>
      <c r="T111" s="28"/>
      <c r="U111" s="28"/>
      <c r="V111" s="28"/>
      <c r="W111" s="4">
        <v>6</v>
      </c>
      <c r="X111" s="4">
        <v>31.94</v>
      </c>
      <c r="Y111" s="9" t="s">
        <v>402</v>
      </c>
    </row>
    <row r="112" spans="1:25" x14ac:dyDescent="0.25">
      <c r="A112" t="s">
        <v>401</v>
      </c>
      <c r="B112" t="s">
        <v>388</v>
      </c>
      <c r="C112" t="s">
        <v>393</v>
      </c>
      <c r="D112">
        <v>0.3</v>
      </c>
      <c r="E112">
        <v>134.86000000000001</v>
      </c>
      <c r="F112">
        <v>9</v>
      </c>
      <c r="G112">
        <v>27.66</v>
      </c>
      <c r="H112" t="s">
        <v>402</v>
      </c>
      <c r="R112" s="6" t="s">
        <v>401</v>
      </c>
      <c r="S112" s="28"/>
      <c r="T112" s="28"/>
      <c r="U112" s="28"/>
      <c r="V112" s="28"/>
      <c r="W112" s="3">
        <v>7</v>
      </c>
      <c r="X112" s="3">
        <v>27.92</v>
      </c>
      <c r="Y112" s="7" t="s">
        <v>402</v>
      </c>
    </row>
    <row r="113" spans="1:25" x14ac:dyDescent="0.25">
      <c r="A113" t="s">
        <v>401</v>
      </c>
      <c r="B113" t="s">
        <v>388</v>
      </c>
      <c r="C113" t="s">
        <v>393</v>
      </c>
      <c r="D113">
        <v>0.3</v>
      </c>
      <c r="E113">
        <v>134.86000000000001</v>
      </c>
      <c r="F113">
        <v>10</v>
      </c>
      <c r="G113">
        <v>29.2</v>
      </c>
      <c r="H113" t="s">
        <v>402</v>
      </c>
      <c r="R113" s="8" t="s">
        <v>401</v>
      </c>
      <c r="S113" s="28"/>
      <c r="T113" s="28"/>
      <c r="U113" s="28"/>
      <c r="V113" s="28"/>
      <c r="W113" s="4">
        <v>8</v>
      </c>
      <c r="X113" s="4">
        <v>30.18</v>
      </c>
      <c r="Y113" s="9" t="s">
        <v>402</v>
      </c>
    </row>
    <row r="114" spans="1:25" x14ac:dyDescent="0.25">
      <c r="A114" t="s">
        <v>401</v>
      </c>
      <c r="B114" t="s">
        <v>388</v>
      </c>
      <c r="C114" t="s">
        <v>394</v>
      </c>
      <c r="D114">
        <v>0.3</v>
      </c>
      <c r="E114">
        <v>311.14999999999998</v>
      </c>
      <c r="F114">
        <v>1</v>
      </c>
      <c r="G114">
        <v>30.8</v>
      </c>
      <c r="H114" t="s">
        <v>402</v>
      </c>
      <c r="R114" s="6" t="s">
        <v>401</v>
      </c>
      <c r="S114" s="28"/>
      <c r="T114" s="28"/>
      <c r="U114" s="28"/>
      <c r="V114" s="28"/>
      <c r="W114" s="3">
        <v>9</v>
      </c>
      <c r="X114" s="3">
        <v>27.66</v>
      </c>
      <c r="Y114" s="7" t="s">
        <v>402</v>
      </c>
    </row>
    <row r="115" spans="1:25" x14ac:dyDescent="0.25">
      <c r="A115" t="s">
        <v>401</v>
      </c>
      <c r="B115" t="s">
        <v>388</v>
      </c>
      <c r="C115" t="s">
        <v>394</v>
      </c>
      <c r="D115">
        <v>0.3</v>
      </c>
      <c r="E115">
        <v>311.14999999999998</v>
      </c>
      <c r="F115">
        <v>2</v>
      </c>
      <c r="G115">
        <v>25.18</v>
      </c>
      <c r="H115" t="s">
        <v>402</v>
      </c>
      <c r="R115" s="8" t="s">
        <v>401</v>
      </c>
      <c r="S115" s="29"/>
      <c r="T115" s="29"/>
      <c r="U115" s="29"/>
      <c r="V115" s="29"/>
      <c r="W115" s="4">
        <v>10</v>
      </c>
      <c r="X115" s="4">
        <v>29.2</v>
      </c>
      <c r="Y115" s="9" t="s">
        <v>402</v>
      </c>
    </row>
    <row r="116" spans="1:25" x14ac:dyDescent="0.25">
      <c r="A116" t="s">
        <v>401</v>
      </c>
      <c r="B116" t="s">
        <v>388</v>
      </c>
      <c r="C116" t="s">
        <v>394</v>
      </c>
      <c r="D116">
        <v>0.3</v>
      </c>
      <c r="E116">
        <v>311.14999999999998</v>
      </c>
      <c r="F116">
        <v>3</v>
      </c>
      <c r="G116">
        <v>25.13</v>
      </c>
      <c r="H116" t="s">
        <v>402</v>
      </c>
      <c r="R116" s="6" t="s">
        <v>401</v>
      </c>
      <c r="S116" s="27" t="s">
        <v>388</v>
      </c>
      <c r="T116" s="27" t="s">
        <v>394</v>
      </c>
      <c r="U116" s="27">
        <v>0.3</v>
      </c>
      <c r="V116" s="27">
        <v>311.14999999999998</v>
      </c>
      <c r="W116" s="3">
        <v>1</v>
      </c>
      <c r="X116" s="3">
        <v>30.8</v>
      </c>
      <c r="Y116" s="7" t="s">
        <v>402</v>
      </c>
    </row>
    <row r="117" spans="1:25" x14ac:dyDescent="0.25">
      <c r="A117" t="s">
        <v>401</v>
      </c>
      <c r="B117" t="s">
        <v>388</v>
      </c>
      <c r="C117" t="s">
        <v>394</v>
      </c>
      <c r="D117">
        <v>0.3</v>
      </c>
      <c r="E117">
        <v>311.14999999999998</v>
      </c>
      <c r="F117">
        <v>4</v>
      </c>
      <c r="G117">
        <v>24.2</v>
      </c>
      <c r="H117" t="s">
        <v>402</v>
      </c>
      <c r="R117" s="8" t="s">
        <v>401</v>
      </c>
      <c r="S117" s="28"/>
      <c r="T117" s="28"/>
      <c r="U117" s="28"/>
      <c r="V117" s="28"/>
      <c r="W117" s="4">
        <v>2</v>
      </c>
      <c r="X117" s="4">
        <v>25.18</v>
      </c>
      <c r="Y117" s="9" t="s">
        <v>402</v>
      </c>
    </row>
    <row r="118" spans="1:25" x14ac:dyDescent="0.25">
      <c r="A118" t="s">
        <v>401</v>
      </c>
      <c r="B118" t="s">
        <v>388</v>
      </c>
      <c r="C118" t="s">
        <v>394</v>
      </c>
      <c r="D118">
        <v>0.3</v>
      </c>
      <c r="E118">
        <v>311.14999999999998</v>
      </c>
      <c r="F118">
        <v>5</v>
      </c>
      <c r="G118">
        <v>24.4</v>
      </c>
      <c r="H118" t="s">
        <v>402</v>
      </c>
      <c r="R118" s="6" t="s">
        <v>401</v>
      </c>
      <c r="S118" s="28"/>
      <c r="T118" s="28"/>
      <c r="U118" s="28"/>
      <c r="V118" s="28"/>
      <c r="W118" s="3">
        <v>3</v>
      </c>
      <c r="X118" s="3">
        <v>25.13</v>
      </c>
      <c r="Y118" s="7" t="s">
        <v>402</v>
      </c>
    </row>
    <row r="119" spans="1:25" x14ac:dyDescent="0.25">
      <c r="A119" t="s">
        <v>401</v>
      </c>
      <c r="B119" t="s">
        <v>388</v>
      </c>
      <c r="C119" t="s">
        <v>394</v>
      </c>
      <c r="D119">
        <v>0.3</v>
      </c>
      <c r="E119">
        <v>311.14999999999998</v>
      </c>
      <c r="F119">
        <v>6</v>
      </c>
      <c r="G119">
        <v>24.88</v>
      </c>
      <c r="H119" t="s">
        <v>402</v>
      </c>
      <c r="R119" s="8" t="s">
        <v>401</v>
      </c>
      <c r="S119" s="28"/>
      <c r="T119" s="28"/>
      <c r="U119" s="28"/>
      <c r="V119" s="28"/>
      <c r="W119" s="4">
        <v>4</v>
      </c>
      <c r="X119" s="4">
        <v>24.2</v>
      </c>
      <c r="Y119" s="9" t="s">
        <v>402</v>
      </c>
    </row>
    <row r="120" spans="1:25" x14ac:dyDescent="0.25">
      <c r="A120" t="s">
        <v>401</v>
      </c>
      <c r="B120" t="s">
        <v>388</v>
      </c>
      <c r="C120" t="s">
        <v>394</v>
      </c>
      <c r="D120">
        <v>0.3</v>
      </c>
      <c r="E120">
        <v>311.14999999999998</v>
      </c>
      <c r="F120">
        <v>7</v>
      </c>
      <c r="G120">
        <v>24.34</v>
      </c>
      <c r="H120" t="s">
        <v>402</v>
      </c>
      <c r="R120" s="6" t="s">
        <v>401</v>
      </c>
      <c r="S120" s="28"/>
      <c r="T120" s="28"/>
      <c r="U120" s="28"/>
      <c r="V120" s="28"/>
      <c r="W120" s="3">
        <v>5</v>
      </c>
      <c r="X120" s="3">
        <v>24.4</v>
      </c>
      <c r="Y120" s="7" t="s">
        <v>402</v>
      </c>
    </row>
    <row r="121" spans="1:25" x14ac:dyDescent="0.25">
      <c r="A121" t="s">
        <v>401</v>
      </c>
      <c r="B121" t="s">
        <v>388</v>
      </c>
      <c r="C121" t="s">
        <v>394</v>
      </c>
      <c r="D121">
        <v>0.3</v>
      </c>
      <c r="E121">
        <v>311.14999999999998</v>
      </c>
      <c r="F121">
        <v>8</v>
      </c>
      <c r="G121">
        <v>24.48</v>
      </c>
      <c r="H121" t="s">
        <v>402</v>
      </c>
      <c r="R121" s="8" t="s">
        <v>401</v>
      </c>
      <c r="S121" s="28"/>
      <c r="T121" s="28"/>
      <c r="U121" s="28"/>
      <c r="V121" s="28"/>
      <c r="W121" s="4">
        <v>6</v>
      </c>
      <c r="X121" s="4">
        <v>24.88</v>
      </c>
      <c r="Y121" s="9" t="s">
        <v>402</v>
      </c>
    </row>
    <row r="122" spans="1:25" x14ac:dyDescent="0.25">
      <c r="A122" t="s">
        <v>401</v>
      </c>
      <c r="B122" t="s">
        <v>388</v>
      </c>
      <c r="C122" t="s">
        <v>394</v>
      </c>
      <c r="D122">
        <v>0.3</v>
      </c>
      <c r="E122">
        <v>311.14999999999998</v>
      </c>
      <c r="F122">
        <v>9</v>
      </c>
      <c r="G122">
        <v>25.73</v>
      </c>
      <c r="H122" t="s">
        <v>402</v>
      </c>
      <c r="R122" s="6" t="s">
        <v>401</v>
      </c>
      <c r="S122" s="28"/>
      <c r="T122" s="28"/>
      <c r="U122" s="28"/>
      <c r="V122" s="28"/>
      <c r="W122" s="3">
        <v>7</v>
      </c>
      <c r="X122" s="3">
        <v>24.34</v>
      </c>
      <c r="Y122" s="7" t="s">
        <v>402</v>
      </c>
    </row>
    <row r="123" spans="1:25" x14ac:dyDescent="0.25">
      <c r="A123" t="s">
        <v>401</v>
      </c>
      <c r="B123" t="s">
        <v>388</v>
      </c>
      <c r="C123" t="s">
        <v>394</v>
      </c>
      <c r="D123">
        <v>0.3</v>
      </c>
      <c r="E123">
        <v>311.14999999999998</v>
      </c>
      <c r="F123">
        <v>10</v>
      </c>
      <c r="G123">
        <v>24.05</v>
      </c>
      <c r="H123" t="s">
        <v>402</v>
      </c>
      <c r="R123" s="8" t="s">
        <v>401</v>
      </c>
      <c r="S123" s="28"/>
      <c r="T123" s="28"/>
      <c r="U123" s="28"/>
      <c r="V123" s="28"/>
      <c r="W123" s="4">
        <v>8</v>
      </c>
      <c r="X123" s="4">
        <v>24.48</v>
      </c>
      <c r="Y123" s="9" t="s">
        <v>402</v>
      </c>
    </row>
    <row r="124" spans="1:25" x14ac:dyDescent="0.25">
      <c r="R124" s="6" t="s">
        <v>401</v>
      </c>
      <c r="S124" s="28"/>
      <c r="T124" s="28"/>
      <c r="U124" s="28"/>
      <c r="V124" s="28"/>
      <c r="W124" s="3">
        <v>9</v>
      </c>
      <c r="X124" s="3">
        <v>25.73</v>
      </c>
      <c r="Y124" s="7" t="s">
        <v>402</v>
      </c>
    </row>
    <row r="125" spans="1:25" x14ac:dyDescent="0.25">
      <c r="R125" s="8" t="s">
        <v>401</v>
      </c>
      <c r="S125" s="29"/>
      <c r="T125" s="29"/>
      <c r="U125" s="29"/>
      <c r="V125" s="29"/>
      <c r="W125" s="4">
        <v>10</v>
      </c>
      <c r="X125" s="4">
        <v>24.05</v>
      </c>
      <c r="Y125" s="9" t="s">
        <v>402</v>
      </c>
    </row>
  </sheetData>
  <mergeCells count="104">
    <mergeCell ref="BQ4:BQ13"/>
    <mergeCell ref="BQ14:BQ23"/>
    <mergeCell ref="BI4:BI13"/>
    <mergeCell ref="BI14:BI23"/>
    <mergeCell ref="AN14:AN23"/>
    <mergeCell ref="AN24:AN33"/>
    <mergeCell ref="AN34:AN43"/>
    <mergeCell ref="AU4:AU13"/>
    <mergeCell ref="BB4:BB13"/>
    <mergeCell ref="BB14:BB23"/>
    <mergeCell ref="BB25:BB34"/>
    <mergeCell ref="BC35:BC44"/>
    <mergeCell ref="BD35:BD44"/>
    <mergeCell ref="BE35:BE44"/>
    <mergeCell ref="AW25:AW34"/>
    <mergeCell ref="AX25:AX34"/>
    <mergeCell ref="AY25:AY34"/>
    <mergeCell ref="BK4:BK13"/>
    <mergeCell ref="BM4:BM13"/>
    <mergeCell ref="BN4:BN13"/>
    <mergeCell ref="BK14:BK23"/>
    <mergeCell ref="BM14:BM23"/>
    <mergeCell ref="BN14:BN23"/>
    <mergeCell ref="BL4:BL13"/>
    <mergeCell ref="BL14:BL23"/>
    <mergeCell ref="BD4:BD13"/>
    <mergeCell ref="BE4:BE13"/>
    <mergeCell ref="BF4:BF13"/>
    <mergeCell ref="BD14:BD23"/>
    <mergeCell ref="BE14:BE23"/>
    <mergeCell ref="BF14:BF23"/>
    <mergeCell ref="AW4:AW13"/>
    <mergeCell ref="AX4:AX13"/>
    <mergeCell ref="AY4:AY13"/>
    <mergeCell ref="AW14:AW23"/>
    <mergeCell ref="AX14:AX23"/>
    <mergeCell ref="AY14:AY23"/>
    <mergeCell ref="S106:S115"/>
    <mergeCell ref="S116:S125"/>
    <mergeCell ref="AP4:AP13"/>
    <mergeCell ref="AQ4:AQ13"/>
    <mergeCell ref="AR4:AR13"/>
    <mergeCell ref="AP14:AP23"/>
    <mergeCell ref="AQ14:AQ23"/>
    <mergeCell ref="AR14:AR23"/>
    <mergeCell ref="AN4:AN13"/>
    <mergeCell ref="S45:S54"/>
    <mergeCell ref="S55:S64"/>
    <mergeCell ref="S65:S74"/>
    <mergeCell ref="S76:S85"/>
    <mergeCell ref="S86:S95"/>
    <mergeCell ref="S96:S105"/>
    <mergeCell ref="U96:U105"/>
    <mergeCell ref="V96:V105"/>
    <mergeCell ref="U106:U115"/>
    <mergeCell ref="V106:V115"/>
    <mergeCell ref="U116:U125"/>
    <mergeCell ref="V116:V125"/>
    <mergeCell ref="U65:U74"/>
    <mergeCell ref="V65:V74"/>
    <mergeCell ref="U76:U85"/>
    <mergeCell ref="V76:V85"/>
    <mergeCell ref="U86:U95"/>
    <mergeCell ref="V86:V95"/>
    <mergeCell ref="U34:U43"/>
    <mergeCell ref="V34:V43"/>
    <mergeCell ref="U45:U54"/>
    <mergeCell ref="V45:V54"/>
    <mergeCell ref="U55:U64"/>
    <mergeCell ref="V55:V64"/>
    <mergeCell ref="AK24:AK33"/>
    <mergeCell ref="AI34:AI43"/>
    <mergeCell ref="AJ34:AJ43"/>
    <mergeCell ref="AK34:AK43"/>
    <mergeCell ref="U4:U13"/>
    <mergeCell ref="V4:V13"/>
    <mergeCell ref="U14:U23"/>
    <mergeCell ref="V14:V23"/>
    <mergeCell ref="U24:U33"/>
    <mergeCell ref="V24:V33"/>
    <mergeCell ref="S4:S13"/>
    <mergeCell ref="S14:S23"/>
    <mergeCell ref="S24:S33"/>
    <mergeCell ref="S34:S43"/>
    <mergeCell ref="T106:T115"/>
    <mergeCell ref="T116:T125"/>
    <mergeCell ref="AI4:AI13"/>
    <mergeCell ref="AJ4:AJ13"/>
    <mergeCell ref="AK4:AK13"/>
    <mergeCell ref="AI14:AI23"/>
    <mergeCell ref="AJ14:AJ23"/>
    <mergeCell ref="AK14:AK23"/>
    <mergeCell ref="AI24:AI33"/>
    <mergeCell ref="AJ24:AJ33"/>
    <mergeCell ref="T45:T54"/>
    <mergeCell ref="T55:T64"/>
    <mergeCell ref="T65:T74"/>
    <mergeCell ref="T76:T85"/>
    <mergeCell ref="T86:T95"/>
    <mergeCell ref="T96:T105"/>
    <mergeCell ref="T4:T13"/>
    <mergeCell ref="T14:T23"/>
    <mergeCell ref="T24:T33"/>
    <mergeCell ref="T34:T43"/>
  </mergeCell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06A74-87AA-4F12-8980-874AABE9459C}">
  <dimension ref="A1:AN83"/>
  <sheetViews>
    <sheetView topLeftCell="A55" zoomScaleNormal="100" workbookViewId="0">
      <selection activeCell="C69" sqref="C69:I69"/>
    </sheetView>
  </sheetViews>
  <sheetFormatPr defaultRowHeight="15" x14ac:dyDescent="0.25"/>
  <cols>
    <col min="1" max="1" width="18.85546875" bestFit="1" customWidth="1"/>
    <col min="2" max="2" width="14.85546875" bestFit="1" customWidth="1"/>
    <col min="3" max="3" width="24.5703125" customWidth="1"/>
    <col min="4" max="4" width="29.42578125" customWidth="1"/>
    <col min="5" max="5" width="25.7109375" customWidth="1"/>
    <col min="6" max="6" width="29.85546875" customWidth="1"/>
    <col min="7" max="7" width="24" customWidth="1"/>
    <col min="8" max="8" width="23.140625" customWidth="1"/>
    <col min="9" max="9" width="21.5703125" customWidth="1"/>
    <col min="10" max="10" width="21.140625" bestFit="1" customWidth="1"/>
    <col min="11" max="11" width="17.42578125" bestFit="1" customWidth="1"/>
    <col min="12" max="12" width="18.42578125" bestFit="1" customWidth="1"/>
    <col min="13" max="13" width="17.7109375" bestFit="1" customWidth="1"/>
    <col min="14" max="14" width="18.7109375" bestFit="1" customWidth="1"/>
    <col min="15" max="15" width="25.140625" bestFit="1" customWidth="1"/>
    <col min="16" max="16" width="24.28515625" bestFit="1" customWidth="1"/>
    <col min="17" max="17" width="21.42578125" bestFit="1" customWidth="1"/>
    <col min="18" max="18" width="18.5703125" bestFit="1" customWidth="1"/>
    <col min="19" max="19" width="19.7109375" bestFit="1" customWidth="1"/>
    <col min="20" max="20" width="26.28515625" bestFit="1" customWidth="1"/>
    <col min="21" max="21" width="25.42578125" bestFit="1" customWidth="1"/>
    <col min="22" max="22" width="22.5703125" bestFit="1" customWidth="1"/>
    <col min="23" max="23" width="16.85546875" bestFit="1" customWidth="1"/>
    <col min="24" max="24" width="17.85546875" bestFit="1" customWidth="1"/>
    <col min="25" max="25" width="17.140625" bestFit="1" customWidth="1"/>
    <col min="26" max="26" width="18.140625" bestFit="1" customWidth="1"/>
    <col min="27" max="27" width="24.5703125" bestFit="1" customWidth="1"/>
    <col min="28" max="28" width="23.7109375" bestFit="1" customWidth="1"/>
    <col min="29" max="29" width="20.85546875" bestFit="1" customWidth="1"/>
    <col min="30" max="30" width="26.42578125" bestFit="1" customWidth="1"/>
    <col min="31" max="31" width="25.5703125" bestFit="1" customWidth="1"/>
    <col min="32" max="32" width="27" bestFit="1" customWidth="1"/>
    <col min="33" max="33" width="16.85546875" bestFit="1" customWidth="1"/>
    <col min="34" max="34" width="24.28515625" customWidth="1"/>
    <col min="35" max="35" width="36.28515625" customWidth="1"/>
    <col min="36" max="36" width="26.140625" customWidth="1"/>
    <col min="37" max="37" width="38.7109375" customWidth="1"/>
    <col min="38" max="38" width="32.5703125" customWidth="1"/>
    <col min="39" max="39" width="42.7109375" customWidth="1"/>
    <col min="40" max="40" width="34.85546875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414</v>
      </c>
      <c r="G1" t="s">
        <v>415</v>
      </c>
      <c r="H1" t="s">
        <v>416</v>
      </c>
      <c r="I1" t="s">
        <v>417</v>
      </c>
      <c r="J1" t="s">
        <v>427</v>
      </c>
      <c r="K1" t="s">
        <v>8</v>
      </c>
      <c r="L1" t="s">
        <v>9</v>
      </c>
      <c r="M1" t="s">
        <v>10</v>
      </c>
      <c r="N1" t="s">
        <v>11</v>
      </c>
      <c r="O1" t="s">
        <v>428</v>
      </c>
      <c r="P1" t="s">
        <v>429</v>
      </c>
      <c r="Q1" t="s">
        <v>430</v>
      </c>
      <c r="R1" t="s">
        <v>418</v>
      </c>
      <c r="S1" t="s">
        <v>419</v>
      </c>
      <c r="T1" t="s">
        <v>420</v>
      </c>
      <c r="U1" t="s">
        <v>421</v>
      </c>
      <c r="V1" t="s">
        <v>422</v>
      </c>
      <c r="W1" t="s">
        <v>12</v>
      </c>
      <c r="X1" t="s">
        <v>13</v>
      </c>
      <c r="Y1" t="s">
        <v>14</v>
      </c>
      <c r="Z1" t="s">
        <v>15</v>
      </c>
      <c r="AA1" t="s">
        <v>16</v>
      </c>
      <c r="AB1" t="s">
        <v>17</v>
      </c>
      <c r="AC1" t="s">
        <v>18</v>
      </c>
      <c r="AD1" t="s">
        <v>19</v>
      </c>
      <c r="AE1" t="s">
        <v>20</v>
      </c>
      <c r="AF1" t="s">
        <v>21</v>
      </c>
      <c r="AG1" t="s">
        <v>423</v>
      </c>
      <c r="AH1" t="s">
        <v>424</v>
      </c>
      <c r="AI1" t="s">
        <v>431</v>
      </c>
      <c r="AJ1" t="s">
        <v>432</v>
      </c>
      <c r="AK1" t="s">
        <v>433</v>
      </c>
      <c r="AL1" t="s">
        <v>434</v>
      </c>
      <c r="AM1" t="s">
        <v>435</v>
      </c>
      <c r="AN1" t="s">
        <v>436</v>
      </c>
    </row>
    <row r="2" spans="1:40" x14ac:dyDescent="0.25">
      <c r="A2" t="s">
        <v>22</v>
      </c>
      <c r="B2" t="s">
        <v>388</v>
      </c>
      <c r="C2" t="s">
        <v>394</v>
      </c>
      <c r="D2">
        <v>0.27</v>
      </c>
      <c r="E2" s="23">
        <v>168.49</v>
      </c>
      <c r="F2" s="23">
        <v>1.71</v>
      </c>
      <c r="G2" s="23">
        <v>1.41</v>
      </c>
      <c r="H2" s="23">
        <v>2.5099999999999998</v>
      </c>
      <c r="I2" s="23">
        <v>1.92</v>
      </c>
      <c r="J2" s="23">
        <v>0.21</v>
      </c>
      <c r="K2" s="23">
        <v>122.8</v>
      </c>
      <c r="L2" s="23">
        <v>245.5</v>
      </c>
      <c r="M2" s="23">
        <v>4</v>
      </c>
      <c r="N2" s="23">
        <v>4</v>
      </c>
      <c r="O2" s="23">
        <v>491.53</v>
      </c>
      <c r="P2" s="23">
        <v>488.83</v>
      </c>
      <c r="Q2" s="23">
        <v>-2.7</v>
      </c>
      <c r="R2" s="23">
        <v>94.9</v>
      </c>
      <c r="S2" s="23">
        <v>116</v>
      </c>
      <c r="T2" s="23">
        <v>489.1</v>
      </c>
      <c r="U2" s="23">
        <v>652.52</v>
      </c>
      <c r="V2" s="23">
        <v>163.41999999999999</v>
      </c>
      <c r="W2" s="23">
        <v>0</v>
      </c>
      <c r="X2" s="23">
        <v>0</v>
      </c>
      <c r="Y2" s="23">
        <v>10</v>
      </c>
      <c r="Z2" s="23">
        <v>10</v>
      </c>
      <c r="AA2" s="23">
        <v>653.57000000000005</v>
      </c>
      <c r="AB2" s="23">
        <v>640.97</v>
      </c>
      <c r="AC2" s="23">
        <v>-12.6</v>
      </c>
      <c r="AD2" s="23">
        <v>836</v>
      </c>
      <c r="AE2" s="23">
        <v>836</v>
      </c>
      <c r="AF2" s="23">
        <v>0</v>
      </c>
      <c r="AG2" t="s">
        <v>425</v>
      </c>
      <c r="AH2" s="23">
        <v>56.82</v>
      </c>
      <c r="AI2" s="23">
        <v>652</v>
      </c>
      <c r="AJ2" s="23">
        <v>652</v>
      </c>
      <c r="AK2" s="23">
        <v>0</v>
      </c>
      <c r="AL2" s="23">
        <v>651</v>
      </c>
      <c r="AM2" s="23">
        <v>810</v>
      </c>
      <c r="AN2" s="23">
        <v>159</v>
      </c>
    </row>
    <row r="3" spans="1:40" x14ac:dyDescent="0.25">
      <c r="A3" t="s">
        <v>22</v>
      </c>
      <c r="B3" t="s">
        <v>388</v>
      </c>
      <c r="C3" t="s">
        <v>393</v>
      </c>
      <c r="D3">
        <v>0.26</v>
      </c>
      <c r="E3" s="23">
        <v>11.66</v>
      </c>
      <c r="F3" s="23">
        <v>3.03</v>
      </c>
      <c r="G3" s="23">
        <v>2.76</v>
      </c>
      <c r="H3" s="23">
        <v>3.51</v>
      </c>
      <c r="I3" s="23">
        <v>3.44</v>
      </c>
      <c r="J3" s="23">
        <v>0.21</v>
      </c>
      <c r="K3" s="23">
        <v>84.2</v>
      </c>
      <c r="L3" s="23">
        <v>168.4</v>
      </c>
      <c r="M3" s="23">
        <v>6</v>
      </c>
      <c r="N3" s="23">
        <v>6</v>
      </c>
      <c r="O3" s="23">
        <v>489.52</v>
      </c>
      <c r="P3" s="23">
        <v>489.3</v>
      </c>
      <c r="Q3" s="23">
        <v>-0.22</v>
      </c>
      <c r="R3" s="23">
        <v>32.200000000000003</v>
      </c>
      <c r="S3" s="23">
        <v>32.200000000000003</v>
      </c>
      <c r="T3" s="23">
        <v>489.93</v>
      </c>
      <c r="U3" s="23">
        <v>489.93</v>
      </c>
      <c r="V3" s="23">
        <v>0</v>
      </c>
      <c r="W3" s="23">
        <v>50.4</v>
      </c>
      <c r="X3" s="23">
        <v>100.8</v>
      </c>
      <c r="Y3" s="23">
        <v>6</v>
      </c>
      <c r="Z3" s="23">
        <v>6</v>
      </c>
      <c r="AA3" s="23">
        <v>530.01</v>
      </c>
      <c r="AB3" s="23">
        <v>530.02</v>
      </c>
      <c r="AC3" s="23">
        <v>0.01</v>
      </c>
      <c r="AD3" s="23">
        <v>649</v>
      </c>
      <c r="AE3" s="23">
        <v>649</v>
      </c>
      <c r="AF3" s="23">
        <v>0</v>
      </c>
      <c r="AG3" t="s">
        <v>425</v>
      </c>
      <c r="AH3" s="23">
        <v>56.82</v>
      </c>
      <c r="AI3" s="23">
        <v>650</v>
      </c>
      <c r="AJ3" s="23">
        <v>650</v>
      </c>
      <c r="AK3" s="23">
        <v>0</v>
      </c>
      <c r="AL3" s="23">
        <v>649</v>
      </c>
      <c r="AM3" s="23">
        <v>649</v>
      </c>
      <c r="AN3" s="23">
        <v>0</v>
      </c>
    </row>
    <row r="4" spans="1:40" x14ac:dyDescent="0.25">
      <c r="A4" t="s">
        <v>22</v>
      </c>
      <c r="B4" t="s">
        <v>385</v>
      </c>
      <c r="C4" t="s">
        <v>392</v>
      </c>
      <c r="D4">
        <v>199.47</v>
      </c>
      <c r="E4" s="23">
        <v>3076.93</v>
      </c>
      <c r="F4" s="23">
        <v>3.13</v>
      </c>
      <c r="G4" s="23">
        <v>2.79</v>
      </c>
      <c r="H4" s="23">
        <v>3.58</v>
      </c>
      <c r="I4" s="23">
        <v>3.48</v>
      </c>
      <c r="J4" s="23">
        <v>0.18</v>
      </c>
      <c r="K4" s="23">
        <v>46.5</v>
      </c>
      <c r="L4" s="23">
        <v>93.3</v>
      </c>
      <c r="M4" s="23">
        <v>4.5</v>
      </c>
      <c r="N4" s="23">
        <v>5</v>
      </c>
      <c r="O4" s="23">
        <v>494.32</v>
      </c>
      <c r="P4" s="23">
        <v>502.68</v>
      </c>
      <c r="Q4" s="23">
        <v>8.36</v>
      </c>
      <c r="R4" s="23">
        <v>168.8</v>
      </c>
      <c r="S4" s="23">
        <v>652.79999999999995</v>
      </c>
      <c r="T4" s="23">
        <v>541.04999999999995</v>
      </c>
      <c r="U4" s="23">
        <v>946.85</v>
      </c>
      <c r="V4" s="23">
        <v>405.8</v>
      </c>
      <c r="W4" s="23">
        <v>391.1</v>
      </c>
      <c r="X4" s="23">
        <v>442.1</v>
      </c>
      <c r="Y4" s="23">
        <v>0</v>
      </c>
      <c r="Z4" s="23">
        <v>0</v>
      </c>
      <c r="AA4" s="23">
        <v>944.03</v>
      </c>
      <c r="AB4" s="23">
        <v>948.51</v>
      </c>
      <c r="AC4" s="23">
        <v>4.4800000000000004</v>
      </c>
      <c r="AD4" s="23">
        <v>589</v>
      </c>
      <c r="AE4" s="23">
        <v>589</v>
      </c>
      <c r="AF4" s="23">
        <v>0</v>
      </c>
      <c r="AG4" t="s">
        <v>425</v>
      </c>
      <c r="AH4" s="23">
        <v>56.82</v>
      </c>
      <c r="AI4" s="23">
        <v>590</v>
      </c>
      <c r="AJ4" s="23">
        <v>589</v>
      </c>
      <c r="AK4" s="23">
        <v>-1</v>
      </c>
      <c r="AL4" s="23">
        <v>589</v>
      </c>
      <c r="AM4" s="23">
        <v>589</v>
      </c>
      <c r="AN4" s="23">
        <v>0</v>
      </c>
    </row>
    <row r="5" spans="1:40" x14ac:dyDescent="0.25">
      <c r="A5" t="s">
        <v>22</v>
      </c>
      <c r="B5" t="s">
        <v>386</v>
      </c>
      <c r="C5" t="s">
        <v>391</v>
      </c>
      <c r="D5">
        <v>178.97</v>
      </c>
      <c r="E5" s="23">
        <v>426.3</v>
      </c>
      <c r="F5" s="23">
        <v>3.81</v>
      </c>
      <c r="G5" s="23">
        <v>3.17</v>
      </c>
      <c r="H5" s="23">
        <v>7.78</v>
      </c>
      <c r="I5" s="23">
        <v>5.42</v>
      </c>
      <c r="J5" s="23">
        <v>1.0900000000000001</v>
      </c>
      <c r="K5" s="23">
        <v>196.5</v>
      </c>
      <c r="L5" s="23">
        <v>419.2</v>
      </c>
      <c r="M5" s="23">
        <v>5</v>
      </c>
      <c r="N5" s="23">
        <v>5</v>
      </c>
      <c r="O5" s="23">
        <v>485.62</v>
      </c>
      <c r="P5" s="23">
        <v>522.63</v>
      </c>
      <c r="Q5" s="23">
        <v>37.01</v>
      </c>
      <c r="R5" s="23">
        <v>104.5</v>
      </c>
      <c r="S5" s="23">
        <v>143.80000000000001</v>
      </c>
      <c r="T5" s="23">
        <v>565.27</v>
      </c>
      <c r="U5" s="23">
        <v>727.86</v>
      </c>
      <c r="V5" s="23">
        <v>162.59</v>
      </c>
      <c r="W5" s="23">
        <v>556.5</v>
      </c>
      <c r="X5" s="23">
        <v>669.5</v>
      </c>
      <c r="Y5" s="23">
        <v>0</v>
      </c>
      <c r="Z5" s="23">
        <v>0</v>
      </c>
      <c r="AA5" s="23">
        <v>1055.1199999999999</v>
      </c>
      <c r="AB5" s="23">
        <v>1044.8800000000001</v>
      </c>
      <c r="AC5" s="23">
        <v>-10.24</v>
      </c>
      <c r="AD5" s="23">
        <v>643</v>
      </c>
      <c r="AE5" s="23">
        <v>643</v>
      </c>
      <c r="AF5" s="23">
        <v>0</v>
      </c>
      <c r="AG5" t="s">
        <v>425</v>
      </c>
      <c r="AH5" s="23">
        <v>56.82</v>
      </c>
      <c r="AI5" s="23">
        <v>591</v>
      </c>
      <c r="AJ5" s="23">
        <v>592</v>
      </c>
      <c r="AK5" s="23">
        <v>1</v>
      </c>
      <c r="AL5" s="23">
        <v>609</v>
      </c>
      <c r="AM5" s="23">
        <v>609</v>
      </c>
      <c r="AN5" s="23">
        <v>0</v>
      </c>
    </row>
    <row r="6" spans="1:40" x14ac:dyDescent="0.25">
      <c r="A6" t="s">
        <v>22</v>
      </c>
      <c r="B6" t="s">
        <v>384</v>
      </c>
      <c r="C6" t="s">
        <v>389</v>
      </c>
      <c r="D6">
        <v>75.739999999999995</v>
      </c>
      <c r="E6" s="23">
        <v>89.34</v>
      </c>
      <c r="F6" s="23">
        <v>5.5</v>
      </c>
      <c r="G6" s="23">
        <v>4.0599999999999996</v>
      </c>
      <c r="H6" s="23">
        <v>8.11</v>
      </c>
      <c r="I6" s="23">
        <v>6.9</v>
      </c>
      <c r="J6" s="23">
        <v>0.99</v>
      </c>
      <c r="K6" s="23">
        <v>125.6</v>
      </c>
      <c r="L6" s="23">
        <v>251.2</v>
      </c>
      <c r="M6" s="23">
        <v>4</v>
      </c>
      <c r="N6" s="23">
        <v>4</v>
      </c>
      <c r="O6" s="23">
        <v>486.27</v>
      </c>
      <c r="P6" s="23">
        <v>487.23</v>
      </c>
      <c r="Q6" s="23">
        <v>0.96</v>
      </c>
      <c r="R6" s="23">
        <v>315.39999999999998</v>
      </c>
      <c r="S6" s="23">
        <v>603</v>
      </c>
      <c r="T6" s="23">
        <v>531.5</v>
      </c>
      <c r="U6" s="23">
        <v>595.51</v>
      </c>
      <c r="V6" s="23">
        <v>64.010000000000005</v>
      </c>
      <c r="W6" s="23">
        <v>460.8</v>
      </c>
      <c r="X6" s="23">
        <v>508.8</v>
      </c>
      <c r="Y6" s="23">
        <v>3.3</v>
      </c>
      <c r="Z6" s="23">
        <v>4</v>
      </c>
      <c r="AA6" s="23">
        <v>660.24</v>
      </c>
      <c r="AB6" s="23">
        <v>663.75</v>
      </c>
      <c r="AC6" s="23">
        <v>3.51</v>
      </c>
      <c r="AD6" s="23">
        <v>591</v>
      </c>
      <c r="AE6" s="23">
        <v>591</v>
      </c>
      <c r="AF6" s="23">
        <v>0</v>
      </c>
      <c r="AG6" t="s">
        <v>425</v>
      </c>
      <c r="AH6" s="23">
        <v>56.82</v>
      </c>
      <c r="AI6" s="23">
        <v>591</v>
      </c>
      <c r="AJ6" s="23">
        <v>590</v>
      </c>
      <c r="AK6" s="23">
        <v>-1</v>
      </c>
      <c r="AL6" s="23">
        <v>591</v>
      </c>
      <c r="AM6" s="23">
        <v>591</v>
      </c>
      <c r="AN6" s="23">
        <v>0</v>
      </c>
    </row>
    <row r="7" spans="1:40" x14ac:dyDescent="0.25">
      <c r="A7" t="s">
        <v>22</v>
      </c>
      <c r="B7" t="s">
        <v>385</v>
      </c>
      <c r="C7" t="s">
        <v>390</v>
      </c>
      <c r="D7">
        <v>94.66</v>
      </c>
      <c r="E7" s="23">
        <v>241.21</v>
      </c>
      <c r="F7" s="23">
        <v>7.05</v>
      </c>
      <c r="G7" s="23">
        <v>5.65</v>
      </c>
      <c r="H7" s="23">
        <v>10.47</v>
      </c>
      <c r="I7" s="23">
        <v>8.26</v>
      </c>
      <c r="J7" s="23">
        <v>1.03</v>
      </c>
      <c r="K7" s="23">
        <v>37.9</v>
      </c>
      <c r="L7" s="23">
        <v>113.6</v>
      </c>
      <c r="M7" s="23">
        <v>4</v>
      </c>
      <c r="N7" s="23">
        <v>4</v>
      </c>
      <c r="O7" s="23">
        <v>493.99</v>
      </c>
      <c r="P7" s="23">
        <v>503.55</v>
      </c>
      <c r="Q7" s="23">
        <v>9.56</v>
      </c>
      <c r="R7" s="23">
        <v>83.8</v>
      </c>
      <c r="S7" s="23">
        <v>151.6</v>
      </c>
      <c r="T7" s="23">
        <v>541.29</v>
      </c>
      <c r="U7" s="23">
        <v>563.14</v>
      </c>
      <c r="V7" s="23">
        <v>21.85</v>
      </c>
      <c r="W7" s="23">
        <v>116.4</v>
      </c>
      <c r="X7" s="23">
        <v>210.3</v>
      </c>
      <c r="Y7" s="23">
        <v>0</v>
      </c>
      <c r="Z7" s="23">
        <v>0</v>
      </c>
      <c r="AA7" s="23">
        <v>665.09</v>
      </c>
      <c r="AB7" s="23">
        <v>617.75</v>
      </c>
      <c r="AC7" s="23">
        <v>-47.34</v>
      </c>
      <c r="AD7" s="23">
        <v>683</v>
      </c>
      <c r="AE7" s="23">
        <v>649</v>
      </c>
      <c r="AF7" s="23">
        <v>-34</v>
      </c>
      <c r="AG7" t="s">
        <v>425</v>
      </c>
      <c r="AH7" s="23">
        <v>56.82</v>
      </c>
      <c r="AI7" s="23">
        <v>591</v>
      </c>
      <c r="AJ7" s="23">
        <v>590</v>
      </c>
      <c r="AK7" s="23">
        <v>-1</v>
      </c>
      <c r="AL7" s="23">
        <v>591</v>
      </c>
      <c r="AM7" s="23">
        <v>591</v>
      </c>
      <c r="AN7" s="23">
        <v>0</v>
      </c>
    </row>
    <row r="8" spans="1:40" x14ac:dyDescent="0.25">
      <c r="A8" t="s">
        <v>22</v>
      </c>
      <c r="B8" t="s">
        <v>385</v>
      </c>
      <c r="C8" t="s">
        <v>391</v>
      </c>
      <c r="D8">
        <v>192.14</v>
      </c>
      <c r="E8" s="23">
        <v>2282.59</v>
      </c>
      <c r="F8" s="23">
        <v>8.52</v>
      </c>
      <c r="G8" s="23">
        <v>6.7</v>
      </c>
      <c r="H8" s="23">
        <v>12.42</v>
      </c>
      <c r="I8" s="23">
        <v>10.91</v>
      </c>
      <c r="J8" s="23">
        <v>1.35</v>
      </c>
      <c r="K8" s="23">
        <v>60.5</v>
      </c>
      <c r="L8" s="23">
        <v>169.1</v>
      </c>
      <c r="M8" s="23">
        <v>5.5</v>
      </c>
      <c r="N8" s="23">
        <v>8</v>
      </c>
      <c r="O8" s="23">
        <v>489.03</v>
      </c>
      <c r="P8" s="23">
        <v>496.47</v>
      </c>
      <c r="Q8" s="23">
        <v>7.44</v>
      </c>
      <c r="R8" s="23">
        <v>215.6</v>
      </c>
      <c r="S8" s="23">
        <v>1003.1</v>
      </c>
      <c r="T8" s="23">
        <v>530.38</v>
      </c>
      <c r="U8" s="23">
        <v>1003.06</v>
      </c>
      <c r="V8" s="23">
        <v>472.68</v>
      </c>
      <c r="W8" s="23">
        <v>1087.7</v>
      </c>
      <c r="X8" s="23">
        <v>1164.5</v>
      </c>
      <c r="Y8" s="23">
        <v>1</v>
      </c>
      <c r="Z8" s="23">
        <v>1</v>
      </c>
      <c r="AA8" s="23">
        <v>1308.28</v>
      </c>
      <c r="AB8" s="23">
        <v>1372.14</v>
      </c>
      <c r="AC8" s="23">
        <v>63.86</v>
      </c>
      <c r="AD8" s="23">
        <v>681</v>
      </c>
      <c r="AE8" s="23">
        <v>681</v>
      </c>
      <c r="AF8" s="23">
        <v>0</v>
      </c>
      <c r="AG8" t="s">
        <v>425</v>
      </c>
      <c r="AH8" s="23">
        <v>56.82</v>
      </c>
      <c r="AI8" s="23">
        <v>591</v>
      </c>
      <c r="AJ8" s="23">
        <v>591</v>
      </c>
      <c r="AK8" s="23">
        <v>0</v>
      </c>
      <c r="AL8" s="23">
        <v>591</v>
      </c>
      <c r="AM8" s="23">
        <v>609</v>
      </c>
      <c r="AN8" s="23">
        <v>18</v>
      </c>
    </row>
    <row r="9" spans="1:40" x14ac:dyDescent="0.25">
      <c r="A9" t="s">
        <v>22</v>
      </c>
      <c r="B9" t="s">
        <v>384</v>
      </c>
      <c r="C9" t="s">
        <v>391</v>
      </c>
      <c r="D9">
        <v>105.5</v>
      </c>
      <c r="E9" s="23">
        <v>89.47</v>
      </c>
      <c r="F9" s="23">
        <v>10.4</v>
      </c>
      <c r="G9" s="23">
        <v>9.51</v>
      </c>
      <c r="H9" s="23">
        <v>12.98</v>
      </c>
      <c r="I9" s="23">
        <v>11.31</v>
      </c>
      <c r="J9" s="23">
        <v>0.69</v>
      </c>
      <c r="K9" s="23">
        <v>565.5</v>
      </c>
      <c r="L9" s="23">
        <v>1609.1</v>
      </c>
      <c r="M9" s="23">
        <v>7.3</v>
      </c>
      <c r="N9" s="23">
        <v>9</v>
      </c>
      <c r="O9" s="23">
        <v>490.69</v>
      </c>
      <c r="P9" s="23">
        <v>509.92</v>
      </c>
      <c r="Q9" s="23">
        <v>19.23</v>
      </c>
      <c r="R9" s="23">
        <v>40.5</v>
      </c>
      <c r="S9" s="23">
        <v>81</v>
      </c>
      <c r="T9" s="23">
        <v>553.61</v>
      </c>
      <c r="U9" s="23">
        <v>553.61</v>
      </c>
      <c r="V9" s="23">
        <v>0</v>
      </c>
      <c r="W9" s="23">
        <v>99.1</v>
      </c>
      <c r="X9" s="23">
        <v>161.6</v>
      </c>
      <c r="Y9" s="23">
        <v>3</v>
      </c>
      <c r="Z9" s="23">
        <v>7</v>
      </c>
      <c r="AA9" s="23">
        <v>704.9</v>
      </c>
      <c r="AB9" s="23">
        <v>713.8</v>
      </c>
      <c r="AC9" s="23">
        <v>8.9</v>
      </c>
      <c r="AD9" s="23">
        <v>681</v>
      </c>
      <c r="AE9" s="23">
        <v>681</v>
      </c>
      <c r="AF9" s="23">
        <v>0</v>
      </c>
      <c r="AG9" t="s">
        <v>425</v>
      </c>
      <c r="AH9" s="23">
        <v>56.82</v>
      </c>
      <c r="AI9" s="23">
        <v>590</v>
      </c>
      <c r="AJ9" s="23">
        <v>608</v>
      </c>
      <c r="AK9" s="23">
        <v>18</v>
      </c>
      <c r="AL9" s="23">
        <v>608</v>
      </c>
      <c r="AM9" s="23">
        <v>608</v>
      </c>
      <c r="AN9" s="23">
        <v>0</v>
      </c>
    </row>
    <row r="10" spans="1:40" x14ac:dyDescent="0.25">
      <c r="A10" t="s">
        <v>22</v>
      </c>
      <c r="B10" t="s">
        <v>385</v>
      </c>
      <c r="C10" t="s">
        <v>389</v>
      </c>
      <c r="D10">
        <v>2920.12</v>
      </c>
      <c r="E10" s="23">
        <v>1985.47</v>
      </c>
      <c r="F10" s="23">
        <v>12.05</v>
      </c>
      <c r="G10" s="23">
        <v>10.53</v>
      </c>
      <c r="H10" s="23">
        <v>16.88</v>
      </c>
      <c r="I10" s="23">
        <v>13.65</v>
      </c>
      <c r="J10" s="23">
        <v>1.35</v>
      </c>
      <c r="K10" s="23">
        <v>16.8</v>
      </c>
      <c r="L10" s="23">
        <v>155.1</v>
      </c>
      <c r="M10" s="23">
        <v>1.4</v>
      </c>
      <c r="N10" s="23">
        <v>8</v>
      </c>
      <c r="O10" s="23">
        <v>493.29</v>
      </c>
      <c r="P10" s="23">
        <v>518.36</v>
      </c>
      <c r="Q10" s="23">
        <v>25.07</v>
      </c>
      <c r="R10" s="23">
        <v>219.6</v>
      </c>
      <c r="S10" s="23">
        <v>723.6</v>
      </c>
      <c r="T10" s="23">
        <v>557.91</v>
      </c>
      <c r="U10" s="23">
        <v>925.42</v>
      </c>
      <c r="V10" s="23">
        <v>367.51</v>
      </c>
      <c r="W10" s="23">
        <v>1393.5</v>
      </c>
      <c r="X10" s="23">
        <v>1563.5</v>
      </c>
      <c r="Y10" s="23">
        <v>0</v>
      </c>
      <c r="Z10" s="23">
        <v>0</v>
      </c>
      <c r="AA10" s="23">
        <v>1142.1600000000001</v>
      </c>
      <c r="AB10" s="23">
        <v>1228.68</v>
      </c>
      <c r="AC10" s="23">
        <v>86.52</v>
      </c>
      <c r="AD10" s="23">
        <v>590</v>
      </c>
      <c r="AE10" s="23">
        <v>590</v>
      </c>
      <c r="AF10" s="23">
        <v>0</v>
      </c>
      <c r="AG10" t="s">
        <v>425</v>
      </c>
      <c r="AH10" s="23">
        <v>56.82</v>
      </c>
      <c r="AI10" s="23">
        <v>592</v>
      </c>
      <c r="AJ10" s="23">
        <v>591</v>
      </c>
      <c r="AK10" s="23">
        <v>-1</v>
      </c>
      <c r="AL10" s="23">
        <v>591</v>
      </c>
      <c r="AM10" s="23">
        <v>590</v>
      </c>
      <c r="AN10" s="23">
        <v>-1</v>
      </c>
    </row>
    <row r="11" spans="1:40" x14ac:dyDescent="0.25">
      <c r="A11" t="s">
        <v>22</v>
      </c>
      <c r="B11" t="s">
        <v>386</v>
      </c>
      <c r="C11" t="s">
        <v>389</v>
      </c>
      <c r="D11">
        <v>180.78</v>
      </c>
      <c r="E11" s="23">
        <v>167.73</v>
      </c>
      <c r="F11" s="23">
        <v>12.34</v>
      </c>
      <c r="G11" s="23">
        <v>11.67</v>
      </c>
      <c r="H11" s="23">
        <v>17.12</v>
      </c>
      <c r="I11" s="23">
        <v>12.84</v>
      </c>
      <c r="J11" s="23">
        <v>0.99</v>
      </c>
      <c r="K11" s="23">
        <v>232.1</v>
      </c>
      <c r="L11" s="23">
        <v>380</v>
      </c>
      <c r="M11" s="23">
        <v>7.7</v>
      </c>
      <c r="N11" s="23">
        <v>10</v>
      </c>
      <c r="O11" s="23">
        <v>492.73</v>
      </c>
      <c r="P11" s="23">
        <v>535.02</v>
      </c>
      <c r="Q11" s="23">
        <v>42.29</v>
      </c>
      <c r="R11" s="23">
        <v>55</v>
      </c>
      <c r="S11" s="23">
        <v>102.8</v>
      </c>
      <c r="T11" s="23">
        <v>570.73</v>
      </c>
      <c r="U11" s="23">
        <v>622.9</v>
      </c>
      <c r="V11" s="23">
        <v>52.17</v>
      </c>
      <c r="W11" s="23">
        <v>118.4</v>
      </c>
      <c r="X11" s="23">
        <v>200.9</v>
      </c>
      <c r="Y11" s="23">
        <v>2.2000000000000002</v>
      </c>
      <c r="Z11" s="23">
        <v>3</v>
      </c>
      <c r="AA11" s="23">
        <v>720.3</v>
      </c>
      <c r="AB11" s="23">
        <v>706.17</v>
      </c>
      <c r="AC11" s="23">
        <v>-14.13</v>
      </c>
      <c r="AD11" s="23">
        <v>610</v>
      </c>
      <c r="AE11" s="23">
        <v>610</v>
      </c>
      <c r="AF11" s="23">
        <v>0</v>
      </c>
      <c r="AG11" t="s">
        <v>425</v>
      </c>
      <c r="AH11" s="23">
        <v>56.82</v>
      </c>
      <c r="AI11" s="23">
        <v>591</v>
      </c>
      <c r="AJ11" s="23">
        <v>599</v>
      </c>
      <c r="AK11" s="23">
        <v>8</v>
      </c>
      <c r="AL11" s="23">
        <v>610</v>
      </c>
      <c r="AM11" s="23">
        <v>610</v>
      </c>
      <c r="AN11" s="23">
        <v>0</v>
      </c>
    </row>
    <row r="12" spans="1:40" x14ac:dyDescent="0.25">
      <c r="A12" t="s">
        <v>22</v>
      </c>
      <c r="B12" t="s">
        <v>384</v>
      </c>
      <c r="C12" t="s">
        <v>390</v>
      </c>
      <c r="D12">
        <v>23.31</v>
      </c>
      <c r="E12" s="23">
        <v>80.650000000000006</v>
      </c>
      <c r="F12" s="23">
        <v>14.43</v>
      </c>
      <c r="G12" s="23">
        <v>10.3</v>
      </c>
      <c r="H12" s="23">
        <v>17.61</v>
      </c>
      <c r="I12" s="23">
        <v>16.37</v>
      </c>
      <c r="J12" s="23">
        <v>2.0299999999999998</v>
      </c>
      <c r="K12" s="23">
        <v>0</v>
      </c>
      <c r="L12" s="23">
        <v>0</v>
      </c>
      <c r="M12" s="23">
        <v>4</v>
      </c>
      <c r="N12" s="23">
        <v>4</v>
      </c>
      <c r="O12" s="23">
        <v>495.21</v>
      </c>
      <c r="P12" s="23">
        <v>494.59</v>
      </c>
      <c r="Q12" s="23">
        <v>-0.62</v>
      </c>
      <c r="R12" s="23">
        <v>45.8</v>
      </c>
      <c r="S12" s="23">
        <v>47.4</v>
      </c>
      <c r="T12" s="23">
        <v>515.37</v>
      </c>
      <c r="U12" s="23">
        <v>515.37</v>
      </c>
      <c r="V12" s="23">
        <v>0</v>
      </c>
      <c r="W12" s="23">
        <v>98.1</v>
      </c>
      <c r="X12" s="23">
        <v>198.5</v>
      </c>
      <c r="Y12" s="23">
        <v>0</v>
      </c>
      <c r="Z12" s="23">
        <v>0</v>
      </c>
      <c r="AA12" s="23">
        <v>664.36</v>
      </c>
      <c r="AB12" s="23">
        <v>644.27</v>
      </c>
      <c r="AC12" s="23">
        <v>-20.09</v>
      </c>
      <c r="AD12" s="23">
        <v>664</v>
      </c>
      <c r="AE12" s="23">
        <v>663</v>
      </c>
      <c r="AF12" s="23">
        <v>-1</v>
      </c>
      <c r="AG12" t="s">
        <v>425</v>
      </c>
      <c r="AH12" s="23">
        <v>56.82</v>
      </c>
      <c r="AI12" s="23">
        <v>592</v>
      </c>
      <c r="AJ12" s="23">
        <v>592</v>
      </c>
      <c r="AK12" s="23">
        <v>0</v>
      </c>
      <c r="AL12" s="23">
        <v>591</v>
      </c>
      <c r="AM12" s="23">
        <v>591</v>
      </c>
      <c r="AN12" s="23">
        <v>0</v>
      </c>
    </row>
    <row r="13" spans="1:40" x14ac:dyDescent="0.25">
      <c r="A13" t="s">
        <v>22</v>
      </c>
      <c r="B13" t="s">
        <v>387</v>
      </c>
      <c r="C13" t="s">
        <v>391</v>
      </c>
      <c r="D13">
        <v>7.98</v>
      </c>
      <c r="E13" s="23">
        <v>348.98</v>
      </c>
      <c r="F13" s="23">
        <v>31.85</v>
      </c>
      <c r="G13" s="23">
        <v>22.87</v>
      </c>
      <c r="H13" s="23">
        <v>54.81</v>
      </c>
      <c r="I13" s="23">
        <v>43.5</v>
      </c>
      <c r="J13" s="23">
        <v>7.29</v>
      </c>
      <c r="K13" s="23">
        <v>130.6</v>
      </c>
      <c r="L13" s="23">
        <v>690.6</v>
      </c>
      <c r="M13" s="23">
        <v>1.5</v>
      </c>
      <c r="N13" s="23">
        <v>5</v>
      </c>
      <c r="O13" s="23">
        <v>491.71</v>
      </c>
      <c r="P13" s="23">
        <v>827.34</v>
      </c>
      <c r="Q13" s="23">
        <v>335.63</v>
      </c>
      <c r="R13" s="23">
        <v>1089.3</v>
      </c>
      <c r="S13" s="23">
        <v>1363.5</v>
      </c>
      <c r="T13" s="23">
        <v>914.89</v>
      </c>
      <c r="U13" s="23">
        <v>1124.8599999999999</v>
      </c>
      <c r="V13" s="23">
        <v>209.97</v>
      </c>
      <c r="W13" s="23">
        <v>1086.9000000000001</v>
      </c>
      <c r="X13" s="23">
        <v>1382</v>
      </c>
      <c r="Y13" s="23">
        <v>2.7</v>
      </c>
      <c r="Z13" s="23">
        <v>4</v>
      </c>
      <c r="AA13" s="23">
        <v>1479.7</v>
      </c>
      <c r="AB13" s="23">
        <v>1252.46</v>
      </c>
      <c r="AC13" s="23">
        <v>-227.24</v>
      </c>
      <c r="AD13" s="23">
        <v>654</v>
      </c>
      <c r="AE13" s="23">
        <v>691</v>
      </c>
      <c r="AF13" s="23">
        <v>37</v>
      </c>
      <c r="AG13" t="s">
        <v>425</v>
      </c>
      <c r="AH13" s="23">
        <v>60.16</v>
      </c>
      <c r="AI13" s="23">
        <v>590</v>
      </c>
      <c r="AJ13" s="23">
        <v>589</v>
      </c>
      <c r="AK13" s="23">
        <v>-1</v>
      </c>
      <c r="AL13" s="23">
        <v>589</v>
      </c>
      <c r="AM13" s="23">
        <v>612</v>
      </c>
      <c r="AN13" s="23">
        <v>23</v>
      </c>
    </row>
    <row r="14" spans="1:40" x14ac:dyDescent="0.25">
      <c r="A14" t="s">
        <v>22</v>
      </c>
      <c r="B14" t="s">
        <v>387</v>
      </c>
      <c r="C14" t="s">
        <v>392</v>
      </c>
      <c r="D14">
        <v>6.38</v>
      </c>
      <c r="E14" s="23">
        <v>162.79</v>
      </c>
      <c r="F14" s="23">
        <v>45.9</v>
      </c>
      <c r="G14" s="23">
        <v>28.73</v>
      </c>
      <c r="H14" s="23">
        <v>75.22</v>
      </c>
      <c r="I14" s="23">
        <v>62.55</v>
      </c>
      <c r="J14" s="23">
        <v>12.25</v>
      </c>
      <c r="K14" s="23">
        <v>144.1</v>
      </c>
      <c r="L14" s="23">
        <v>812</v>
      </c>
      <c r="M14" s="23">
        <v>2.6</v>
      </c>
      <c r="N14" s="23">
        <v>16</v>
      </c>
      <c r="O14" s="23">
        <v>491.31</v>
      </c>
      <c r="P14" s="23">
        <v>848.93</v>
      </c>
      <c r="Q14" s="23">
        <v>357.62</v>
      </c>
      <c r="R14" s="23">
        <v>1095.4000000000001</v>
      </c>
      <c r="S14" s="23">
        <v>1241.0999999999999</v>
      </c>
      <c r="T14" s="23">
        <v>951.11</v>
      </c>
      <c r="U14" s="23">
        <v>1036.68</v>
      </c>
      <c r="V14" s="23">
        <v>85.57</v>
      </c>
      <c r="W14" s="23">
        <v>1276.9000000000001</v>
      </c>
      <c r="X14" s="23">
        <v>1488.5</v>
      </c>
      <c r="Y14" s="23">
        <v>0.4</v>
      </c>
      <c r="Z14" s="23">
        <v>1</v>
      </c>
      <c r="AA14" s="23">
        <v>1351.64</v>
      </c>
      <c r="AB14" s="23">
        <v>1203.92</v>
      </c>
      <c r="AC14" s="23">
        <v>-147.72</v>
      </c>
      <c r="AD14" s="23">
        <v>641</v>
      </c>
      <c r="AE14" s="23">
        <v>675</v>
      </c>
      <c r="AF14" s="23">
        <v>34</v>
      </c>
      <c r="AG14" t="s">
        <v>425</v>
      </c>
      <c r="AH14" s="23">
        <v>60.16</v>
      </c>
      <c r="AI14" s="23">
        <v>638</v>
      </c>
      <c r="AJ14" s="23">
        <v>651</v>
      </c>
      <c r="AK14" s="23">
        <v>13</v>
      </c>
      <c r="AL14" s="23">
        <v>651</v>
      </c>
      <c r="AM14" s="23">
        <v>651</v>
      </c>
      <c r="AN14" s="23">
        <v>0</v>
      </c>
    </row>
    <row r="15" spans="1:40" x14ac:dyDescent="0.25">
      <c r="A15" t="s">
        <v>22</v>
      </c>
      <c r="B15" t="s">
        <v>387</v>
      </c>
      <c r="C15" t="s">
        <v>389</v>
      </c>
      <c r="D15">
        <v>8.16</v>
      </c>
      <c r="E15" s="23">
        <v>41.74</v>
      </c>
      <c r="F15" s="23">
        <v>48.02</v>
      </c>
      <c r="G15" s="23">
        <v>31.1</v>
      </c>
      <c r="H15" s="23">
        <v>94.81</v>
      </c>
      <c r="I15" s="23">
        <v>71.25</v>
      </c>
      <c r="J15" s="23">
        <v>15.32</v>
      </c>
      <c r="K15" s="23">
        <v>128.19999999999999</v>
      </c>
      <c r="L15" s="23">
        <v>832.1</v>
      </c>
      <c r="M15" s="23">
        <v>1.1000000000000001</v>
      </c>
      <c r="N15" s="23">
        <v>4</v>
      </c>
      <c r="O15" s="23">
        <v>491.08</v>
      </c>
      <c r="P15" s="23">
        <v>835.21</v>
      </c>
      <c r="Q15" s="23">
        <v>344.13</v>
      </c>
      <c r="R15" s="23">
        <v>1241.3</v>
      </c>
      <c r="S15" s="23">
        <v>1266.0999999999999</v>
      </c>
      <c r="T15" s="23">
        <v>943.17</v>
      </c>
      <c r="U15" s="23">
        <v>974.38</v>
      </c>
      <c r="V15" s="23">
        <v>31.21</v>
      </c>
      <c r="W15" s="23">
        <v>1227.4000000000001</v>
      </c>
      <c r="X15" s="23">
        <v>1519.5</v>
      </c>
      <c r="Y15" s="23">
        <v>0</v>
      </c>
      <c r="Z15" s="23">
        <v>0</v>
      </c>
      <c r="AA15" s="23">
        <v>1332.59</v>
      </c>
      <c r="AB15" s="23">
        <v>1179.25</v>
      </c>
      <c r="AC15" s="23">
        <v>-153.34</v>
      </c>
      <c r="AD15" s="23">
        <v>579</v>
      </c>
      <c r="AE15" s="23">
        <v>620</v>
      </c>
      <c r="AF15" s="23">
        <v>41</v>
      </c>
      <c r="AG15" t="s">
        <v>425</v>
      </c>
      <c r="AH15" s="23">
        <v>60.16</v>
      </c>
      <c r="AI15" s="23">
        <v>590</v>
      </c>
      <c r="AJ15" s="23">
        <v>589</v>
      </c>
      <c r="AK15" s="23">
        <v>-1</v>
      </c>
      <c r="AL15" s="23">
        <v>589</v>
      </c>
      <c r="AM15" s="23">
        <v>589</v>
      </c>
      <c r="AN15" s="23">
        <v>0</v>
      </c>
    </row>
    <row r="27" spans="1:8" x14ac:dyDescent="0.25">
      <c r="A27" t="s">
        <v>393</v>
      </c>
    </row>
    <row r="28" spans="1:8" x14ac:dyDescent="0.25">
      <c r="A28" s="2" t="s">
        <v>1</v>
      </c>
      <c r="B28" s="2" t="s">
        <v>2</v>
      </c>
      <c r="C28" s="2" t="s">
        <v>8</v>
      </c>
      <c r="D28" s="2" t="s">
        <v>9</v>
      </c>
      <c r="E28" s="2" t="s">
        <v>418</v>
      </c>
      <c r="F28" s="2" t="s">
        <v>419</v>
      </c>
      <c r="G28" s="2" t="s">
        <v>12</v>
      </c>
      <c r="H28" s="2" t="s">
        <v>13</v>
      </c>
    </row>
    <row r="29" spans="1:8" x14ac:dyDescent="0.25">
      <c r="A29" s="33" t="s">
        <v>388</v>
      </c>
      <c r="B29" s="33" t="s">
        <v>394</v>
      </c>
      <c r="C29" s="36">
        <v>122.8</v>
      </c>
      <c r="D29" s="36">
        <v>245.5</v>
      </c>
      <c r="E29" s="36">
        <v>94.9</v>
      </c>
      <c r="F29" s="36">
        <v>116</v>
      </c>
      <c r="G29" s="37">
        <v>12.4</v>
      </c>
      <c r="H29" s="37">
        <v>24.8</v>
      </c>
    </row>
    <row r="30" spans="1:8" x14ac:dyDescent="0.25">
      <c r="A30" s="34" t="s">
        <v>388</v>
      </c>
      <c r="B30" s="34" t="s">
        <v>393</v>
      </c>
      <c r="C30" s="37">
        <v>84.2</v>
      </c>
      <c r="D30" s="37">
        <v>168.4</v>
      </c>
      <c r="E30" s="37">
        <v>32.200000000000003</v>
      </c>
      <c r="F30" s="37">
        <v>32.200000000000003</v>
      </c>
      <c r="G30" s="37">
        <v>50.4</v>
      </c>
      <c r="H30" s="37">
        <v>100.8</v>
      </c>
    </row>
    <row r="31" spans="1:8" x14ac:dyDescent="0.25">
      <c r="A31" s="33" t="s">
        <v>385</v>
      </c>
      <c r="B31" s="33" t="s">
        <v>392</v>
      </c>
      <c r="C31" s="36">
        <v>46.5</v>
      </c>
      <c r="D31" s="36">
        <v>93.3</v>
      </c>
      <c r="E31" s="36">
        <v>168.8</v>
      </c>
      <c r="F31" s="36">
        <v>652.79999999999995</v>
      </c>
      <c r="G31" s="36">
        <v>391.1</v>
      </c>
      <c r="H31" s="36">
        <v>442.1</v>
      </c>
    </row>
    <row r="32" spans="1:8" x14ac:dyDescent="0.25">
      <c r="A32" s="34" t="s">
        <v>386</v>
      </c>
      <c r="B32" s="34" t="s">
        <v>391</v>
      </c>
      <c r="C32" s="37">
        <v>196.5</v>
      </c>
      <c r="D32" s="37">
        <v>419.2</v>
      </c>
      <c r="E32" s="37">
        <v>104.5</v>
      </c>
      <c r="F32" s="37">
        <v>143.80000000000001</v>
      </c>
      <c r="G32" s="37">
        <v>556.5</v>
      </c>
      <c r="H32" s="37">
        <v>669.5</v>
      </c>
    </row>
    <row r="33" spans="1:9" x14ac:dyDescent="0.25">
      <c r="A33" s="33" t="s">
        <v>384</v>
      </c>
      <c r="B33" s="33" t="s">
        <v>389</v>
      </c>
      <c r="C33" s="36">
        <v>125.6</v>
      </c>
      <c r="D33" s="36">
        <v>251.2</v>
      </c>
      <c r="E33" s="36">
        <v>315.39999999999998</v>
      </c>
      <c r="F33" s="36">
        <v>603</v>
      </c>
      <c r="G33" s="36">
        <v>460.8</v>
      </c>
      <c r="H33" s="36">
        <v>508.8</v>
      </c>
    </row>
    <row r="34" spans="1:9" x14ac:dyDescent="0.25">
      <c r="A34" s="34" t="s">
        <v>385</v>
      </c>
      <c r="B34" s="34" t="s">
        <v>390</v>
      </c>
      <c r="C34" s="37">
        <v>37.9</v>
      </c>
      <c r="D34" s="37">
        <v>113.6</v>
      </c>
      <c r="E34" s="37">
        <v>83.8</v>
      </c>
      <c r="F34" s="37">
        <v>151.6</v>
      </c>
      <c r="G34" s="37">
        <v>116.4</v>
      </c>
      <c r="H34" s="37">
        <v>210.3</v>
      </c>
    </row>
    <row r="35" spans="1:9" x14ac:dyDescent="0.25">
      <c r="A35" s="33" t="s">
        <v>385</v>
      </c>
      <c r="B35" s="33" t="s">
        <v>391</v>
      </c>
      <c r="C35" s="36">
        <v>60.5</v>
      </c>
      <c r="D35" s="36">
        <v>169.1</v>
      </c>
      <c r="E35" s="36">
        <v>215.6</v>
      </c>
      <c r="F35" s="36">
        <v>1003.1</v>
      </c>
      <c r="G35" s="36">
        <v>1087.7</v>
      </c>
      <c r="H35" s="36">
        <v>1164.5</v>
      </c>
    </row>
    <row r="36" spans="1:9" x14ac:dyDescent="0.25">
      <c r="A36" s="34" t="s">
        <v>384</v>
      </c>
      <c r="B36" s="34" t="s">
        <v>391</v>
      </c>
      <c r="C36" s="37">
        <v>565.5</v>
      </c>
      <c r="D36" s="37">
        <v>1609.1</v>
      </c>
      <c r="E36" s="37">
        <v>40.5</v>
      </c>
      <c r="F36" s="37">
        <v>81</v>
      </c>
      <c r="G36" s="37">
        <v>99.1</v>
      </c>
      <c r="H36" s="37">
        <v>161.6</v>
      </c>
    </row>
    <row r="37" spans="1:9" x14ac:dyDescent="0.25">
      <c r="A37" s="33" t="s">
        <v>385</v>
      </c>
      <c r="B37" s="33" t="s">
        <v>389</v>
      </c>
      <c r="C37" s="36">
        <v>16.8</v>
      </c>
      <c r="D37" s="36">
        <v>155.1</v>
      </c>
      <c r="E37" s="36">
        <v>219.6</v>
      </c>
      <c r="F37" s="36">
        <v>723.6</v>
      </c>
      <c r="G37" s="36">
        <v>1393.5</v>
      </c>
      <c r="H37" s="36">
        <v>1563.5</v>
      </c>
    </row>
    <row r="38" spans="1:9" x14ac:dyDescent="0.25">
      <c r="A38" s="34" t="s">
        <v>386</v>
      </c>
      <c r="B38" s="34" t="s">
        <v>389</v>
      </c>
      <c r="C38" s="37">
        <v>232.1</v>
      </c>
      <c r="D38" s="37">
        <v>380</v>
      </c>
      <c r="E38" s="37">
        <v>55</v>
      </c>
      <c r="F38" s="37">
        <v>102.8</v>
      </c>
      <c r="G38" s="37">
        <v>118.4</v>
      </c>
      <c r="H38" s="37">
        <v>200.9</v>
      </c>
    </row>
    <row r="39" spans="1:9" x14ac:dyDescent="0.25">
      <c r="A39" s="33" t="s">
        <v>384</v>
      </c>
      <c r="B39" s="33" t="s">
        <v>390</v>
      </c>
      <c r="C39" s="36">
        <v>218.4</v>
      </c>
      <c r="D39" s="36">
        <v>509.6</v>
      </c>
      <c r="E39" s="36">
        <v>45.8</v>
      </c>
      <c r="F39" s="36">
        <v>47.4</v>
      </c>
      <c r="G39" s="36">
        <v>98.1</v>
      </c>
      <c r="H39" s="36">
        <v>198.5</v>
      </c>
    </row>
    <row r="40" spans="1:9" x14ac:dyDescent="0.25">
      <c r="A40" s="34" t="s">
        <v>387</v>
      </c>
      <c r="B40" s="34" t="s">
        <v>391</v>
      </c>
      <c r="C40" s="37">
        <v>130.6</v>
      </c>
      <c r="D40" s="37">
        <v>690.6</v>
      </c>
      <c r="E40" s="37">
        <v>1089.3</v>
      </c>
      <c r="F40" s="37">
        <v>1363.5</v>
      </c>
      <c r="G40" s="37">
        <v>1086.9000000000001</v>
      </c>
      <c r="H40" s="37">
        <v>1382</v>
      </c>
    </row>
    <row r="41" spans="1:9" x14ac:dyDescent="0.25">
      <c r="A41" s="33" t="s">
        <v>387</v>
      </c>
      <c r="B41" s="33" t="s">
        <v>392</v>
      </c>
      <c r="C41" s="36">
        <v>144.1</v>
      </c>
      <c r="D41" s="36">
        <v>812</v>
      </c>
      <c r="E41" s="36">
        <v>1095.4000000000001</v>
      </c>
      <c r="F41" s="36">
        <v>1241.0999999999999</v>
      </c>
      <c r="G41" s="36">
        <v>1276.9000000000001</v>
      </c>
      <c r="H41" s="36">
        <v>1488.5</v>
      </c>
    </row>
    <row r="42" spans="1:9" x14ac:dyDescent="0.25">
      <c r="A42" s="34" t="s">
        <v>387</v>
      </c>
      <c r="B42" s="34" t="s">
        <v>389</v>
      </c>
      <c r="C42" s="37">
        <v>128.19999999999999</v>
      </c>
      <c r="D42" s="37">
        <v>832.1</v>
      </c>
      <c r="E42" s="37">
        <v>1241.3</v>
      </c>
      <c r="F42" s="37">
        <v>1266.0999999999999</v>
      </c>
      <c r="G42" s="37">
        <v>1227.4000000000001</v>
      </c>
      <c r="H42" s="37">
        <v>1519.5</v>
      </c>
    </row>
    <row r="47" spans="1:9" x14ac:dyDescent="0.25">
      <c r="A47" t="s">
        <v>739</v>
      </c>
    </row>
    <row r="48" spans="1:9" x14ac:dyDescent="0.25">
      <c r="A48" s="21" t="s">
        <v>1</v>
      </c>
      <c r="B48" s="21" t="s">
        <v>2</v>
      </c>
      <c r="C48" s="21" t="s">
        <v>740</v>
      </c>
      <c r="D48" s="21" t="s">
        <v>741</v>
      </c>
      <c r="E48" s="21" t="s">
        <v>742</v>
      </c>
      <c r="F48" s="21" t="s">
        <v>743</v>
      </c>
      <c r="G48" s="21" t="s">
        <v>744</v>
      </c>
      <c r="H48" s="21" t="s">
        <v>745</v>
      </c>
      <c r="I48" s="21" t="s">
        <v>746</v>
      </c>
    </row>
    <row r="49" spans="1:9" x14ac:dyDescent="0.25">
      <c r="A49" s="34" t="s">
        <v>388</v>
      </c>
      <c r="B49" s="34" t="s">
        <v>393</v>
      </c>
      <c r="C49" s="37">
        <v>489.52</v>
      </c>
      <c r="D49" s="37">
        <v>489.3</v>
      </c>
      <c r="E49" s="37">
        <v>489.93</v>
      </c>
      <c r="F49" s="37">
        <v>489.93</v>
      </c>
      <c r="G49" s="37">
        <v>530.01</v>
      </c>
      <c r="H49" s="37">
        <v>530.02</v>
      </c>
      <c r="I49" s="23">
        <f>H49-C49</f>
        <v>40.5</v>
      </c>
    </row>
    <row r="50" spans="1:9" x14ac:dyDescent="0.25">
      <c r="A50" s="34" t="s">
        <v>385</v>
      </c>
      <c r="B50" s="34" t="s">
        <v>390</v>
      </c>
      <c r="C50" s="37">
        <v>493.99</v>
      </c>
      <c r="D50" s="37">
        <v>503.55</v>
      </c>
      <c r="E50" s="37">
        <v>541.29</v>
      </c>
      <c r="F50" s="37">
        <v>563.14</v>
      </c>
      <c r="G50" s="37">
        <v>665.09</v>
      </c>
      <c r="H50" s="37">
        <v>617.75</v>
      </c>
      <c r="I50" s="23">
        <f>H50-C50</f>
        <v>123.75999999999999</v>
      </c>
    </row>
    <row r="51" spans="1:9" x14ac:dyDescent="0.25">
      <c r="A51" s="33" t="s">
        <v>384</v>
      </c>
      <c r="B51" s="33" t="s">
        <v>390</v>
      </c>
      <c r="C51" s="36">
        <v>495.21</v>
      </c>
      <c r="D51" s="36">
        <v>494.59</v>
      </c>
      <c r="E51" s="36">
        <v>515.37</v>
      </c>
      <c r="F51" s="36">
        <v>515.37</v>
      </c>
      <c r="G51" s="36">
        <v>664.36</v>
      </c>
      <c r="H51" s="36">
        <v>644.27</v>
      </c>
      <c r="I51" s="23">
        <f>H51-C51</f>
        <v>149.06</v>
      </c>
    </row>
    <row r="52" spans="1:9" x14ac:dyDescent="0.25">
      <c r="A52" s="33" t="s">
        <v>388</v>
      </c>
      <c r="B52" s="33" t="s">
        <v>394</v>
      </c>
      <c r="C52" s="36">
        <v>491.53</v>
      </c>
      <c r="D52" s="36">
        <v>488.83</v>
      </c>
      <c r="E52" s="36">
        <v>489.1</v>
      </c>
      <c r="F52" s="36">
        <v>652.52</v>
      </c>
      <c r="G52" s="36">
        <v>653.57000000000005</v>
      </c>
      <c r="H52" s="36">
        <v>640.97</v>
      </c>
      <c r="I52" s="23">
        <f>H52-C52</f>
        <v>149.44000000000005</v>
      </c>
    </row>
    <row r="53" spans="1:9" x14ac:dyDescent="0.25">
      <c r="A53" s="33" t="s">
        <v>384</v>
      </c>
      <c r="B53" s="33" t="s">
        <v>389</v>
      </c>
      <c r="C53" s="36">
        <v>486.27</v>
      </c>
      <c r="D53" s="36">
        <v>487.23</v>
      </c>
      <c r="E53" s="36">
        <v>531.5</v>
      </c>
      <c r="F53" s="36">
        <v>595.51</v>
      </c>
      <c r="G53" s="36">
        <v>660.24</v>
      </c>
      <c r="H53" s="36">
        <v>663.75</v>
      </c>
      <c r="I53" s="23">
        <f>H53-C53</f>
        <v>177.48000000000002</v>
      </c>
    </row>
    <row r="54" spans="1:9" x14ac:dyDescent="0.25">
      <c r="A54" s="34" t="s">
        <v>386</v>
      </c>
      <c r="B54" s="34" t="s">
        <v>389</v>
      </c>
      <c r="C54" s="37">
        <v>492.73</v>
      </c>
      <c r="D54" s="37">
        <v>535.02</v>
      </c>
      <c r="E54" s="37">
        <v>570.73</v>
      </c>
      <c r="F54" s="37">
        <v>622.9</v>
      </c>
      <c r="G54" s="37">
        <v>720.3</v>
      </c>
      <c r="H54" s="37">
        <v>706.17</v>
      </c>
      <c r="I54" s="23">
        <f>H54-C54</f>
        <v>213.43999999999994</v>
      </c>
    </row>
    <row r="55" spans="1:9" x14ac:dyDescent="0.25">
      <c r="A55" s="34" t="s">
        <v>384</v>
      </c>
      <c r="B55" s="34" t="s">
        <v>391</v>
      </c>
      <c r="C55" s="37">
        <v>490.69</v>
      </c>
      <c r="D55" s="37">
        <v>509.92</v>
      </c>
      <c r="E55" s="37">
        <v>553.61</v>
      </c>
      <c r="F55" s="37">
        <v>553.61</v>
      </c>
      <c r="G55" s="37">
        <v>704.9</v>
      </c>
      <c r="H55" s="37">
        <v>713.8</v>
      </c>
      <c r="I55" s="23">
        <f>H55-C55</f>
        <v>223.10999999999996</v>
      </c>
    </row>
    <row r="56" spans="1:9" x14ac:dyDescent="0.25">
      <c r="A56" s="33" t="s">
        <v>385</v>
      </c>
      <c r="B56" s="33" t="s">
        <v>392</v>
      </c>
      <c r="C56" s="36">
        <v>494.32</v>
      </c>
      <c r="D56" s="36">
        <v>502.68</v>
      </c>
      <c r="E56" s="36">
        <v>541.04999999999995</v>
      </c>
      <c r="F56" s="36">
        <v>946.85</v>
      </c>
      <c r="G56" s="36">
        <v>944.03</v>
      </c>
      <c r="H56" s="36">
        <v>948.51</v>
      </c>
      <c r="I56" s="23">
        <f>H56-C56</f>
        <v>454.19</v>
      </c>
    </row>
    <row r="57" spans="1:9" x14ac:dyDescent="0.25">
      <c r="A57" s="34" t="s">
        <v>386</v>
      </c>
      <c r="B57" s="34" t="s">
        <v>391</v>
      </c>
      <c r="C57" s="37">
        <v>485.62</v>
      </c>
      <c r="D57" s="37">
        <v>522.63</v>
      </c>
      <c r="E57" s="37">
        <v>565.27</v>
      </c>
      <c r="F57" s="37">
        <v>727.86</v>
      </c>
      <c r="G57" s="37">
        <v>1055.1199999999999</v>
      </c>
      <c r="H57" s="37">
        <v>1044.8800000000001</v>
      </c>
      <c r="I57" s="23">
        <f>H57-C57</f>
        <v>559.2600000000001</v>
      </c>
    </row>
    <row r="58" spans="1:9" x14ac:dyDescent="0.25">
      <c r="A58" s="34" t="s">
        <v>387</v>
      </c>
      <c r="B58" s="34" t="s">
        <v>389</v>
      </c>
      <c r="C58" s="37">
        <v>491.08</v>
      </c>
      <c r="D58" s="37">
        <v>835.21</v>
      </c>
      <c r="E58" s="37">
        <v>943.17</v>
      </c>
      <c r="F58" s="37">
        <v>974.38</v>
      </c>
      <c r="G58" s="37">
        <v>1332.59</v>
      </c>
      <c r="H58" s="37">
        <v>1179.25</v>
      </c>
      <c r="I58" s="23">
        <f>H58-C58</f>
        <v>688.17000000000007</v>
      </c>
    </row>
    <row r="59" spans="1:9" x14ac:dyDescent="0.25">
      <c r="A59" s="33" t="s">
        <v>387</v>
      </c>
      <c r="B59" s="33" t="s">
        <v>392</v>
      </c>
      <c r="C59" s="36">
        <v>491.31</v>
      </c>
      <c r="D59" s="36">
        <v>848.93</v>
      </c>
      <c r="E59" s="36">
        <v>951.11</v>
      </c>
      <c r="F59" s="36">
        <v>1036.68</v>
      </c>
      <c r="G59" s="36">
        <v>1351.64</v>
      </c>
      <c r="H59" s="36">
        <v>1203.92</v>
      </c>
      <c r="I59" s="23">
        <f>H59-C59</f>
        <v>712.61000000000013</v>
      </c>
    </row>
    <row r="60" spans="1:9" x14ac:dyDescent="0.25">
      <c r="A60" s="33" t="s">
        <v>385</v>
      </c>
      <c r="B60" s="33" t="s">
        <v>389</v>
      </c>
      <c r="C60" s="36">
        <v>493.29</v>
      </c>
      <c r="D60" s="36">
        <v>518.36</v>
      </c>
      <c r="E60" s="36">
        <v>557.91</v>
      </c>
      <c r="F60" s="36">
        <v>925.42</v>
      </c>
      <c r="G60" s="36">
        <v>1142.1600000000001</v>
      </c>
      <c r="H60" s="36">
        <v>1228.68</v>
      </c>
      <c r="I60" s="23">
        <f>H60-C60</f>
        <v>735.3900000000001</v>
      </c>
    </row>
    <row r="61" spans="1:9" x14ac:dyDescent="0.25">
      <c r="A61" s="34" t="s">
        <v>387</v>
      </c>
      <c r="B61" s="34" t="s">
        <v>391</v>
      </c>
      <c r="C61" s="37">
        <v>491.71</v>
      </c>
      <c r="D61" s="37">
        <v>827.34</v>
      </c>
      <c r="E61" s="37">
        <v>914.89</v>
      </c>
      <c r="F61" s="37">
        <v>1124.8599999999999</v>
      </c>
      <c r="G61" s="37">
        <v>1479.7</v>
      </c>
      <c r="H61" s="37">
        <v>1252.46</v>
      </c>
      <c r="I61" s="23">
        <f>H61-C61</f>
        <v>760.75</v>
      </c>
    </row>
    <row r="62" spans="1:9" x14ac:dyDescent="0.25">
      <c r="A62" s="33" t="s">
        <v>385</v>
      </c>
      <c r="B62" s="33" t="s">
        <v>391</v>
      </c>
      <c r="C62" s="36">
        <v>489.03</v>
      </c>
      <c r="D62" s="36">
        <v>496.47</v>
      </c>
      <c r="E62" s="36">
        <v>530.38</v>
      </c>
      <c r="F62" s="36">
        <v>1003.06</v>
      </c>
      <c r="G62" s="36">
        <v>1308.28</v>
      </c>
      <c r="H62" s="36">
        <v>1372.14</v>
      </c>
      <c r="I62" s="23">
        <f>H62-C62</f>
        <v>883.11000000000013</v>
      </c>
    </row>
    <row r="68" spans="1:9" x14ac:dyDescent="0.25">
      <c r="A68" t="s">
        <v>747</v>
      </c>
    </row>
    <row r="69" spans="1:9" x14ac:dyDescent="0.25">
      <c r="A69" s="21" t="s">
        <v>1</v>
      </c>
      <c r="B69" s="21" t="s">
        <v>2</v>
      </c>
      <c r="C69" s="21" t="s">
        <v>748</v>
      </c>
      <c r="D69" s="21" t="s">
        <v>749</v>
      </c>
      <c r="E69" s="21" t="s">
        <v>750</v>
      </c>
      <c r="F69" s="21" t="s">
        <v>751</v>
      </c>
      <c r="G69" s="21" t="s">
        <v>752</v>
      </c>
      <c r="H69" s="21" t="s">
        <v>753</v>
      </c>
      <c r="I69" s="21" t="s">
        <v>754</v>
      </c>
    </row>
    <row r="70" spans="1:9" x14ac:dyDescent="0.25">
      <c r="A70" s="33" t="s">
        <v>385</v>
      </c>
      <c r="B70" s="33" t="s">
        <v>389</v>
      </c>
      <c r="C70" s="36">
        <v>592</v>
      </c>
      <c r="D70" s="36">
        <v>591</v>
      </c>
      <c r="E70" s="36">
        <v>591</v>
      </c>
      <c r="F70" s="36">
        <v>590</v>
      </c>
      <c r="G70" s="36">
        <v>590</v>
      </c>
      <c r="H70" s="36">
        <v>590</v>
      </c>
      <c r="I70" s="23">
        <f>H70-C70</f>
        <v>-2</v>
      </c>
    </row>
    <row r="71" spans="1:9" x14ac:dyDescent="0.25">
      <c r="A71" s="34" t="s">
        <v>388</v>
      </c>
      <c r="B71" s="34" t="s">
        <v>393</v>
      </c>
      <c r="C71" s="37">
        <v>650</v>
      </c>
      <c r="D71" s="37">
        <v>650</v>
      </c>
      <c r="E71" s="37">
        <v>649</v>
      </c>
      <c r="F71" s="37">
        <v>649</v>
      </c>
      <c r="G71" s="37">
        <v>649</v>
      </c>
      <c r="H71" s="37">
        <v>649</v>
      </c>
      <c r="I71" s="23">
        <f>H71-C71</f>
        <v>-1</v>
      </c>
    </row>
    <row r="72" spans="1:9" x14ac:dyDescent="0.25">
      <c r="A72" s="33" t="s">
        <v>385</v>
      </c>
      <c r="B72" s="33" t="s">
        <v>392</v>
      </c>
      <c r="C72" s="36">
        <v>590</v>
      </c>
      <c r="D72" s="36">
        <v>589</v>
      </c>
      <c r="E72" s="36">
        <v>589</v>
      </c>
      <c r="F72" s="36">
        <v>589</v>
      </c>
      <c r="G72" s="36">
        <v>589</v>
      </c>
      <c r="H72" s="36">
        <v>589</v>
      </c>
      <c r="I72" s="23">
        <f>H72-C72</f>
        <v>-1</v>
      </c>
    </row>
    <row r="73" spans="1:9" x14ac:dyDescent="0.25">
      <c r="A73" s="33" t="s">
        <v>384</v>
      </c>
      <c r="B73" s="33" t="s">
        <v>389</v>
      </c>
      <c r="C73" s="36">
        <v>591</v>
      </c>
      <c r="D73" s="36">
        <v>590</v>
      </c>
      <c r="E73" s="36">
        <v>591</v>
      </c>
      <c r="F73" s="36">
        <v>591</v>
      </c>
      <c r="G73" s="36">
        <v>591</v>
      </c>
      <c r="H73" s="36">
        <v>591</v>
      </c>
      <c r="I73" s="23">
        <f>H73-C73</f>
        <v>0</v>
      </c>
    </row>
    <row r="74" spans="1:9" x14ac:dyDescent="0.25">
      <c r="A74" s="34" t="s">
        <v>386</v>
      </c>
      <c r="B74" s="34" t="s">
        <v>389</v>
      </c>
      <c r="C74" s="37">
        <v>591</v>
      </c>
      <c r="D74" s="37">
        <v>599</v>
      </c>
      <c r="E74" s="37">
        <v>610</v>
      </c>
      <c r="F74" s="37">
        <v>610</v>
      </c>
      <c r="G74" s="37">
        <v>610</v>
      </c>
      <c r="H74" s="37">
        <v>610</v>
      </c>
      <c r="I74" s="23">
        <f>H74-C74</f>
        <v>19</v>
      </c>
    </row>
    <row r="75" spans="1:9" x14ac:dyDescent="0.25">
      <c r="A75" s="34" t="s">
        <v>387</v>
      </c>
      <c r="B75" s="34" t="s">
        <v>389</v>
      </c>
      <c r="C75" s="37">
        <v>590</v>
      </c>
      <c r="D75" s="37">
        <v>589</v>
      </c>
      <c r="E75" s="37">
        <v>589</v>
      </c>
      <c r="F75" s="37">
        <v>589</v>
      </c>
      <c r="G75" s="37">
        <v>579</v>
      </c>
      <c r="H75" s="37">
        <v>620</v>
      </c>
      <c r="I75" s="23">
        <f>H75-C75</f>
        <v>30</v>
      </c>
    </row>
    <row r="76" spans="1:9" x14ac:dyDescent="0.25">
      <c r="A76" s="33" t="s">
        <v>387</v>
      </c>
      <c r="B76" s="33" t="s">
        <v>392</v>
      </c>
      <c r="C76" s="36">
        <v>638</v>
      </c>
      <c r="D76" s="36">
        <v>651</v>
      </c>
      <c r="E76" s="36">
        <v>651</v>
      </c>
      <c r="F76" s="36">
        <v>651</v>
      </c>
      <c r="G76" s="36">
        <v>641</v>
      </c>
      <c r="H76" s="36">
        <v>675</v>
      </c>
      <c r="I76" s="23">
        <f>H76-C76</f>
        <v>37</v>
      </c>
    </row>
    <row r="77" spans="1:9" x14ac:dyDescent="0.25">
      <c r="A77" s="34" t="s">
        <v>386</v>
      </c>
      <c r="B77" s="34" t="s">
        <v>391</v>
      </c>
      <c r="C77" s="37">
        <v>591</v>
      </c>
      <c r="D77" s="37">
        <v>592</v>
      </c>
      <c r="E77" s="37">
        <v>609</v>
      </c>
      <c r="F77" s="37">
        <v>609</v>
      </c>
      <c r="G77" s="37">
        <v>643</v>
      </c>
      <c r="H77" s="37">
        <v>643</v>
      </c>
      <c r="I77" s="23">
        <f>H77-C77</f>
        <v>52</v>
      </c>
    </row>
    <row r="78" spans="1:9" x14ac:dyDescent="0.25">
      <c r="A78" s="34" t="s">
        <v>385</v>
      </c>
      <c r="B78" s="34" t="s">
        <v>390</v>
      </c>
      <c r="C78" s="37">
        <v>591</v>
      </c>
      <c r="D78" s="37">
        <v>590</v>
      </c>
      <c r="E78" s="37">
        <v>591</v>
      </c>
      <c r="F78" s="37">
        <v>591</v>
      </c>
      <c r="G78" s="37">
        <v>683</v>
      </c>
      <c r="H78" s="37">
        <v>649</v>
      </c>
      <c r="I78" s="23">
        <f>H78-C78</f>
        <v>58</v>
      </c>
    </row>
    <row r="79" spans="1:9" x14ac:dyDescent="0.25">
      <c r="A79" s="33" t="s">
        <v>384</v>
      </c>
      <c r="B79" s="33" t="s">
        <v>390</v>
      </c>
      <c r="C79" s="36">
        <v>592</v>
      </c>
      <c r="D79" s="36">
        <v>592</v>
      </c>
      <c r="E79" s="36">
        <v>591</v>
      </c>
      <c r="F79" s="36">
        <v>591</v>
      </c>
      <c r="G79" s="36">
        <v>664</v>
      </c>
      <c r="H79" s="36">
        <v>663</v>
      </c>
      <c r="I79" s="23">
        <f>H79-C79</f>
        <v>71</v>
      </c>
    </row>
    <row r="80" spans="1:9" x14ac:dyDescent="0.25">
      <c r="A80" s="33" t="s">
        <v>385</v>
      </c>
      <c r="B80" s="33" t="s">
        <v>391</v>
      </c>
      <c r="C80" s="36">
        <v>591</v>
      </c>
      <c r="D80" s="36">
        <v>591</v>
      </c>
      <c r="E80" s="36">
        <v>591</v>
      </c>
      <c r="F80" s="36">
        <v>609</v>
      </c>
      <c r="G80" s="36">
        <v>681</v>
      </c>
      <c r="H80" s="36">
        <v>681</v>
      </c>
      <c r="I80" s="23">
        <f>H80-C80</f>
        <v>90</v>
      </c>
    </row>
    <row r="81" spans="1:9" x14ac:dyDescent="0.25">
      <c r="A81" s="34" t="s">
        <v>384</v>
      </c>
      <c r="B81" s="34" t="s">
        <v>391</v>
      </c>
      <c r="C81" s="37">
        <v>590</v>
      </c>
      <c r="D81" s="37">
        <v>608</v>
      </c>
      <c r="E81" s="37">
        <v>608</v>
      </c>
      <c r="F81" s="37">
        <v>608</v>
      </c>
      <c r="G81" s="37">
        <v>681</v>
      </c>
      <c r="H81" s="37">
        <v>681</v>
      </c>
      <c r="I81" s="23">
        <f>H81-C81</f>
        <v>91</v>
      </c>
    </row>
    <row r="82" spans="1:9" x14ac:dyDescent="0.25">
      <c r="A82" s="34" t="s">
        <v>387</v>
      </c>
      <c r="B82" s="34" t="s">
        <v>391</v>
      </c>
      <c r="C82" s="37">
        <v>590</v>
      </c>
      <c r="D82" s="37">
        <v>589</v>
      </c>
      <c r="E82" s="37">
        <v>589</v>
      </c>
      <c r="F82" s="37">
        <v>612</v>
      </c>
      <c r="G82" s="37">
        <v>654</v>
      </c>
      <c r="H82" s="37">
        <v>691</v>
      </c>
      <c r="I82" s="23">
        <f>H82-C82</f>
        <v>101</v>
      </c>
    </row>
    <row r="83" spans="1:9" x14ac:dyDescent="0.25">
      <c r="A83" s="33" t="s">
        <v>388</v>
      </c>
      <c r="B83" s="33" t="s">
        <v>394</v>
      </c>
      <c r="C83" s="36">
        <v>652</v>
      </c>
      <c r="D83" s="36">
        <v>652</v>
      </c>
      <c r="E83" s="36">
        <v>651</v>
      </c>
      <c r="F83" s="36">
        <v>810</v>
      </c>
      <c r="G83" s="36">
        <v>836</v>
      </c>
      <c r="H83" s="36">
        <v>836</v>
      </c>
      <c r="I83" s="23">
        <f>H83-C83</f>
        <v>184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F8CF7-9405-471D-9EFE-C63562A15C30}">
  <dimension ref="A1:AO41"/>
  <sheetViews>
    <sheetView topLeftCell="A10" workbookViewId="0">
      <selection activeCell="J40" sqref="J40"/>
    </sheetView>
  </sheetViews>
  <sheetFormatPr defaultRowHeight="15" x14ac:dyDescent="0.25"/>
  <cols>
    <col min="1" max="1" width="18.85546875" bestFit="1" customWidth="1"/>
    <col min="2" max="2" width="14.85546875" bestFit="1" customWidth="1"/>
    <col min="3" max="3" width="18.85546875" bestFit="1" customWidth="1"/>
    <col min="4" max="4" width="20.5703125" bestFit="1" customWidth="1"/>
    <col min="5" max="5" width="17.42578125" bestFit="1" customWidth="1"/>
    <col min="6" max="6" width="19.28515625" bestFit="1" customWidth="1"/>
    <col min="7" max="7" width="19.7109375" bestFit="1" customWidth="1"/>
    <col min="8" max="8" width="20" bestFit="1" customWidth="1"/>
    <col min="9" max="9" width="19.140625" bestFit="1" customWidth="1"/>
    <col min="10" max="10" width="21.140625" bestFit="1" customWidth="1"/>
    <col min="11" max="11" width="17.42578125" bestFit="1" customWidth="1"/>
    <col min="12" max="12" width="18.42578125" bestFit="1" customWidth="1"/>
    <col min="13" max="13" width="17.7109375" bestFit="1" customWidth="1"/>
    <col min="14" max="14" width="18.7109375" bestFit="1" customWidth="1"/>
    <col min="15" max="15" width="25.140625" bestFit="1" customWidth="1"/>
    <col min="16" max="16" width="24.28515625" bestFit="1" customWidth="1"/>
    <col min="17" max="17" width="21.42578125" bestFit="1" customWidth="1"/>
    <col min="18" max="18" width="27" bestFit="1" customWidth="1"/>
    <col min="19" max="19" width="26.140625" bestFit="1" customWidth="1"/>
    <col min="20" max="20" width="27.5703125" bestFit="1" customWidth="1"/>
    <col min="21" max="21" width="18.5703125" bestFit="1" customWidth="1"/>
    <col min="22" max="22" width="19.7109375" bestFit="1" customWidth="1"/>
    <col min="23" max="23" width="26.28515625" bestFit="1" customWidth="1"/>
    <col min="24" max="24" width="25.42578125" bestFit="1" customWidth="1"/>
    <col min="25" max="25" width="22.5703125" bestFit="1" customWidth="1"/>
    <col min="26" max="26" width="28.28515625" bestFit="1" customWidth="1"/>
    <col min="27" max="27" width="27.28515625" bestFit="1" customWidth="1"/>
    <col min="28" max="28" width="28.85546875" bestFit="1" customWidth="1"/>
    <col min="29" max="29" width="16.85546875" bestFit="1" customWidth="1"/>
    <col min="30" max="30" width="17.85546875" bestFit="1" customWidth="1"/>
    <col min="31" max="31" width="17.140625" bestFit="1" customWidth="1"/>
    <col min="32" max="32" width="18.140625" bestFit="1" customWidth="1"/>
    <col min="33" max="33" width="24.5703125" bestFit="1" customWidth="1"/>
    <col min="34" max="34" width="23.7109375" bestFit="1" customWidth="1"/>
    <col min="35" max="35" width="20.85546875" bestFit="1" customWidth="1"/>
    <col min="36" max="36" width="26.42578125" bestFit="1" customWidth="1"/>
    <col min="37" max="37" width="25.5703125" bestFit="1" customWidth="1"/>
    <col min="38" max="38" width="27" bestFit="1" customWidth="1"/>
    <col min="39" max="39" width="16.85546875" bestFit="1" customWidth="1"/>
    <col min="40" max="40" width="15.5703125" bestFit="1" customWidth="1"/>
    <col min="41" max="41" width="7.5703125" bestFit="1" customWidth="1"/>
  </cols>
  <sheetData>
    <row r="1" spans="1:41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414</v>
      </c>
      <c r="G1" t="s">
        <v>415</v>
      </c>
      <c r="H1" t="s">
        <v>416</v>
      </c>
      <c r="I1" t="s">
        <v>417</v>
      </c>
      <c r="J1" t="s">
        <v>427</v>
      </c>
      <c r="K1" t="s">
        <v>8</v>
      </c>
      <c r="L1" t="s">
        <v>9</v>
      </c>
      <c r="M1" t="s">
        <v>10</v>
      </c>
      <c r="N1" t="s">
        <v>11</v>
      </c>
      <c r="O1" t="s">
        <v>428</v>
      </c>
      <c r="P1" t="s">
        <v>429</v>
      </c>
      <c r="Q1" t="s">
        <v>430</v>
      </c>
      <c r="R1" t="s">
        <v>431</v>
      </c>
      <c r="S1" t="s">
        <v>432</v>
      </c>
      <c r="T1" t="s">
        <v>433</v>
      </c>
      <c r="U1" t="s">
        <v>418</v>
      </c>
      <c r="V1" t="s">
        <v>419</v>
      </c>
      <c r="W1" t="s">
        <v>420</v>
      </c>
      <c r="X1" t="s">
        <v>421</v>
      </c>
      <c r="Y1" t="s">
        <v>422</v>
      </c>
      <c r="Z1" t="s">
        <v>434</v>
      </c>
      <c r="AA1" t="s">
        <v>435</v>
      </c>
      <c r="AB1" t="s">
        <v>436</v>
      </c>
      <c r="AC1" t="s">
        <v>12</v>
      </c>
      <c r="AD1" t="s">
        <v>13</v>
      </c>
      <c r="AE1" t="s">
        <v>14</v>
      </c>
      <c r="AF1" t="s">
        <v>15</v>
      </c>
      <c r="AG1" t="s">
        <v>16</v>
      </c>
      <c r="AH1" t="s">
        <v>17</v>
      </c>
      <c r="AI1" t="s">
        <v>18</v>
      </c>
      <c r="AJ1" t="s">
        <v>19</v>
      </c>
      <c r="AK1" t="s">
        <v>20</v>
      </c>
      <c r="AL1" t="s">
        <v>21</v>
      </c>
      <c r="AM1" t="s">
        <v>423</v>
      </c>
      <c r="AN1" t="s">
        <v>424</v>
      </c>
      <c r="AO1" t="s">
        <v>400</v>
      </c>
    </row>
    <row r="2" spans="1:41" x14ac:dyDescent="0.25">
      <c r="A2" s="35" t="s">
        <v>22</v>
      </c>
      <c r="B2" s="35" t="s">
        <v>388</v>
      </c>
      <c r="C2" s="35" t="s">
        <v>341</v>
      </c>
      <c r="D2" s="23">
        <v>0.28000000000000003</v>
      </c>
      <c r="E2" s="23">
        <v>30.04</v>
      </c>
      <c r="F2" s="23">
        <v>3.19</v>
      </c>
      <c r="G2" s="23">
        <v>2.86</v>
      </c>
      <c r="H2" s="23">
        <v>3.65</v>
      </c>
      <c r="I2" s="23">
        <v>3.47</v>
      </c>
      <c r="J2" s="23">
        <v>0.21</v>
      </c>
      <c r="K2" s="23">
        <v>0</v>
      </c>
      <c r="L2" s="23">
        <v>0</v>
      </c>
      <c r="M2" s="23">
        <v>6</v>
      </c>
      <c r="N2" s="23">
        <v>6</v>
      </c>
      <c r="O2" s="23">
        <v>485.22</v>
      </c>
      <c r="P2" s="23">
        <v>484.9</v>
      </c>
      <c r="Q2" s="23">
        <v>-0.32</v>
      </c>
      <c r="R2" s="23">
        <v>650</v>
      </c>
      <c r="S2" s="23">
        <v>650</v>
      </c>
      <c r="T2" s="23">
        <v>0</v>
      </c>
      <c r="U2" s="23">
        <v>100.8</v>
      </c>
      <c r="V2" s="23">
        <v>100.8</v>
      </c>
      <c r="W2" s="23">
        <v>486.75</v>
      </c>
      <c r="X2" s="23">
        <v>486.75</v>
      </c>
      <c r="Y2" s="23">
        <v>0</v>
      </c>
      <c r="Z2" s="23">
        <v>649</v>
      </c>
      <c r="AA2" s="23">
        <v>649</v>
      </c>
      <c r="AB2" s="23">
        <v>0</v>
      </c>
      <c r="AC2" s="23">
        <v>114.8</v>
      </c>
      <c r="AD2" s="23">
        <v>229.7</v>
      </c>
      <c r="AE2" s="23">
        <v>6</v>
      </c>
      <c r="AF2" s="23">
        <v>6</v>
      </c>
      <c r="AG2" s="23">
        <v>526.86</v>
      </c>
      <c r="AH2" s="23">
        <v>526.86</v>
      </c>
      <c r="AI2" s="23">
        <v>0</v>
      </c>
      <c r="AJ2" s="23">
        <v>649</v>
      </c>
      <c r="AK2" s="23">
        <v>649</v>
      </c>
      <c r="AL2" s="23">
        <v>0</v>
      </c>
      <c r="AM2" s="35" t="s">
        <v>425</v>
      </c>
      <c r="AN2" s="23">
        <v>56.82</v>
      </c>
      <c r="AO2" s="35" t="s">
        <v>402</v>
      </c>
    </row>
    <row r="3" spans="1:41" x14ac:dyDescent="0.25">
      <c r="A3" s="35" t="s">
        <v>22</v>
      </c>
      <c r="B3" s="35" t="s">
        <v>388</v>
      </c>
      <c r="C3" s="35" t="s">
        <v>361</v>
      </c>
      <c r="D3" s="23">
        <v>0.33</v>
      </c>
      <c r="E3" s="23">
        <v>323.66000000000003</v>
      </c>
      <c r="F3" s="23">
        <v>1.5</v>
      </c>
      <c r="G3" s="23">
        <v>1.3</v>
      </c>
      <c r="H3" s="23">
        <v>2.2599999999999998</v>
      </c>
      <c r="I3" s="23">
        <v>1.76</v>
      </c>
      <c r="J3" s="23">
        <v>0.21</v>
      </c>
      <c r="K3" s="23">
        <v>99</v>
      </c>
      <c r="L3" s="23">
        <v>198.1</v>
      </c>
      <c r="M3" s="23">
        <v>8</v>
      </c>
      <c r="N3" s="23">
        <v>8</v>
      </c>
      <c r="O3" s="23">
        <v>488.95</v>
      </c>
      <c r="P3" s="23">
        <v>490.07</v>
      </c>
      <c r="Q3" s="23">
        <v>1.1200000000000001</v>
      </c>
      <c r="R3" s="23">
        <v>652</v>
      </c>
      <c r="S3" s="23">
        <v>652</v>
      </c>
      <c r="T3" s="23">
        <v>0</v>
      </c>
      <c r="U3" s="23">
        <v>41.5</v>
      </c>
      <c r="V3" s="23">
        <v>110</v>
      </c>
      <c r="W3" s="23">
        <v>490.79</v>
      </c>
      <c r="X3" s="23">
        <v>660.55</v>
      </c>
      <c r="Y3" s="23">
        <v>169.76</v>
      </c>
      <c r="Z3" s="23">
        <v>651</v>
      </c>
      <c r="AA3" s="23">
        <v>810</v>
      </c>
      <c r="AB3" s="23">
        <v>159</v>
      </c>
      <c r="AC3" s="23">
        <v>12.4</v>
      </c>
      <c r="AD3" s="23">
        <v>24.8</v>
      </c>
      <c r="AE3" s="23">
        <v>3</v>
      </c>
      <c r="AF3" s="23">
        <v>3</v>
      </c>
      <c r="AG3" s="23">
        <v>636.46</v>
      </c>
      <c r="AH3" s="23">
        <v>636.46</v>
      </c>
      <c r="AI3" s="23">
        <v>0</v>
      </c>
      <c r="AJ3" s="23">
        <v>836</v>
      </c>
      <c r="AK3" s="23">
        <v>836</v>
      </c>
      <c r="AL3" s="23">
        <v>0</v>
      </c>
      <c r="AM3" s="35" t="s">
        <v>425</v>
      </c>
      <c r="AN3" s="23">
        <v>56.82</v>
      </c>
      <c r="AO3" s="35" t="s">
        <v>402</v>
      </c>
    </row>
    <row r="4" spans="1:41" x14ac:dyDescent="0.25">
      <c r="A4" s="35" t="s">
        <v>22</v>
      </c>
      <c r="B4" s="35" t="s">
        <v>386</v>
      </c>
      <c r="C4" s="35" t="s">
        <v>24</v>
      </c>
      <c r="D4" s="23">
        <v>172.84</v>
      </c>
      <c r="E4" s="23">
        <v>150.96</v>
      </c>
      <c r="F4" s="23">
        <v>11.46</v>
      </c>
      <c r="G4" s="23">
        <v>11.16</v>
      </c>
      <c r="H4" s="23">
        <v>12.31</v>
      </c>
      <c r="I4" s="23">
        <v>11.71</v>
      </c>
      <c r="J4" s="23">
        <v>0.26</v>
      </c>
      <c r="K4" s="23">
        <v>128</v>
      </c>
      <c r="L4" s="23">
        <v>274.60000000000002</v>
      </c>
      <c r="M4" s="23">
        <v>4</v>
      </c>
      <c r="N4" s="23">
        <v>4</v>
      </c>
      <c r="O4" s="23">
        <v>492.66</v>
      </c>
      <c r="P4" s="23">
        <v>536.95000000000005</v>
      </c>
      <c r="Q4" s="23">
        <v>44.29</v>
      </c>
      <c r="R4" s="23">
        <v>591</v>
      </c>
      <c r="S4" s="23">
        <v>599</v>
      </c>
      <c r="T4" s="23">
        <v>8</v>
      </c>
      <c r="U4" s="23">
        <v>67.5</v>
      </c>
      <c r="V4" s="23">
        <v>121.4</v>
      </c>
      <c r="W4" s="23">
        <v>581.87</v>
      </c>
      <c r="X4" s="23">
        <v>659.39</v>
      </c>
      <c r="Y4" s="23">
        <v>77.52</v>
      </c>
      <c r="Z4" s="23">
        <v>610</v>
      </c>
      <c r="AA4" s="23">
        <v>610</v>
      </c>
      <c r="AB4" s="23">
        <v>0</v>
      </c>
      <c r="AC4" s="23">
        <v>141.6</v>
      </c>
      <c r="AD4" s="23">
        <v>232.1</v>
      </c>
      <c r="AE4" s="23">
        <v>1.6</v>
      </c>
      <c r="AF4" s="23">
        <v>2</v>
      </c>
      <c r="AG4" s="23">
        <v>732.52</v>
      </c>
      <c r="AH4" s="23">
        <v>705.51</v>
      </c>
      <c r="AI4" s="23">
        <v>-27.01</v>
      </c>
      <c r="AJ4" s="23">
        <v>610</v>
      </c>
      <c r="AK4" s="23">
        <v>610</v>
      </c>
      <c r="AL4" s="23">
        <v>0</v>
      </c>
      <c r="AM4" s="35" t="s">
        <v>425</v>
      </c>
      <c r="AN4" s="23">
        <v>56.82</v>
      </c>
      <c r="AO4" s="35" t="s">
        <v>402</v>
      </c>
    </row>
    <row r="5" spans="1:41" x14ac:dyDescent="0.25">
      <c r="A5" s="35" t="s">
        <v>22</v>
      </c>
      <c r="B5" s="35" t="s">
        <v>385</v>
      </c>
      <c r="C5" s="35" t="s">
        <v>24</v>
      </c>
      <c r="D5" s="23">
        <v>182.61</v>
      </c>
      <c r="E5" s="23">
        <v>2578.19</v>
      </c>
      <c r="F5" s="23">
        <v>13.46</v>
      </c>
      <c r="G5" s="23">
        <v>10.97</v>
      </c>
      <c r="H5" s="23">
        <v>33.42</v>
      </c>
      <c r="I5" s="23">
        <v>16.62</v>
      </c>
      <c r="J5" s="23">
        <v>4.1900000000000004</v>
      </c>
      <c r="K5" s="23">
        <v>3264.8</v>
      </c>
      <c r="L5" s="23">
        <v>9708.7000000000007</v>
      </c>
      <c r="M5" s="23">
        <v>6</v>
      </c>
      <c r="N5" s="23">
        <v>6</v>
      </c>
      <c r="O5" s="23">
        <v>493.27</v>
      </c>
      <c r="P5" s="23">
        <v>499.86</v>
      </c>
      <c r="Q5" s="23">
        <v>6.59</v>
      </c>
      <c r="R5" s="23">
        <v>592</v>
      </c>
      <c r="S5" s="23">
        <v>591</v>
      </c>
      <c r="T5" s="23">
        <v>-1</v>
      </c>
      <c r="U5" s="23">
        <v>167.2</v>
      </c>
      <c r="V5" s="23">
        <v>949.5</v>
      </c>
      <c r="W5" s="23">
        <v>500.25</v>
      </c>
      <c r="X5" s="23">
        <v>925.02</v>
      </c>
      <c r="Y5" s="23">
        <v>424.77</v>
      </c>
      <c r="Z5" s="23">
        <v>591</v>
      </c>
      <c r="AA5" s="23">
        <v>590</v>
      </c>
      <c r="AB5" s="23">
        <v>-1</v>
      </c>
      <c r="AC5" s="23">
        <v>1320.5</v>
      </c>
      <c r="AD5" s="23">
        <v>1511.4</v>
      </c>
      <c r="AE5" s="23">
        <v>0</v>
      </c>
      <c r="AF5" s="23">
        <v>0</v>
      </c>
      <c r="AG5" s="23">
        <v>1120.73</v>
      </c>
      <c r="AH5" s="23">
        <v>1309.6199999999999</v>
      </c>
      <c r="AI5" s="23">
        <v>188.89</v>
      </c>
      <c r="AJ5" s="23">
        <v>590</v>
      </c>
      <c r="AK5" s="23">
        <v>590</v>
      </c>
      <c r="AL5" s="23">
        <v>0</v>
      </c>
      <c r="AM5" s="35" t="s">
        <v>425</v>
      </c>
      <c r="AN5" s="23">
        <v>56.82</v>
      </c>
      <c r="AO5" s="35" t="s">
        <v>402</v>
      </c>
    </row>
    <row r="6" spans="1:41" x14ac:dyDescent="0.25">
      <c r="A6" s="35" t="s">
        <v>22</v>
      </c>
      <c r="B6" s="35" t="s">
        <v>384</v>
      </c>
      <c r="C6" s="35" t="s">
        <v>24</v>
      </c>
      <c r="D6" s="23">
        <v>76.84</v>
      </c>
      <c r="E6" s="23">
        <v>90.31</v>
      </c>
      <c r="F6" s="23">
        <v>5.58</v>
      </c>
      <c r="G6" s="23">
        <v>4.51</v>
      </c>
      <c r="H6" s="23">
        <v>8.8800000000000008</v>
      </c>
      <c r="I6" s="23">
        <v>6.41</v>
      </c>
      <c r="J6" s="23">
        <v>1</v>
      </c>
      <c r="K6" s="23">
        <v>85.8</v>
      </c>
      <c r="L6" s="23">
        <v>257.39999999999998</v>
      </c>
      <c r="M6" s="23">
        <v>3</v>
      </c>
      <c r="N6" s="23">
        <v>3</v>
      </c>
      <c r="O6" s="23">
        <v>492.89</v>
      </c>
      <c r="P6" s="23">
        <v>525.82000000000005</v>
      </c>
      <c r="Q6" s="23">
        <v>32.93</v>
      </c>
      <c r="R6" s="23">
        <v>591</v>
      </c>
      <c r="S6" s="23">
        <v>590</v>
      </c>
      <c r="T6" s="23">
        <v>-1</v>
      </c>
      <c r="U6" s="23">
        <v>247.6</v>
      </c>
      <c r="V6" s="23">
        <v>303.89999999999998</v>
      </c>
      <c r="W6" s="23">
        <v>557.04</v>
      </c>
      <c r="X6" s="23">
        <v>581.19000000000005</v>
      </c>
      <c r="Y6" s="23">
        <v>24.15</v>
      </c>
      <c r="Z6" s="23">
        <v>591</v>
      </c>
      <c r="AA6" s="23">
        <v>591</v>
      </c>
      <c r="AB6" s="23">
        <v>0</v>
      </c>
      <c r="AC6" s="23">
        <v>628.6</v>
      </c>
      <c r="AD6" s="23">
        <v>1026</v>
      </c>
      <c r="AE6" s="23">
        <v>3</v>
      </c>
      <c r="AF6" s="23">
        <v>3</v>
      </c>
      <c r="AG6" s="23">
        <v>681.66</v>
      </c>
      <c r="AH6" s="23">
        <v>668.55</v>
      </c>
      <c r="AI6" s="23">
        <v>-13.11</v>
      </c>
      <c r="AJ6" s="23">
        <v>591</v>
      </c>
      <c r="AK6" s="23">
        <v>591</v>
      </c>
      <c r="AL6" s="23">
        <v>0</v>
      </c>
      <c r="AM6" s="35" t="s">
        <v>425</v>
      </c>
      <c r="AN6" s="23">
        <v>56.82</v>
      </c>
      <c r="AO6" s="35" t="s">
        <v>402</v>
      </c>
    </row>
    <row r="7" spans="1:41" x14ac:dyDescent="0.25">
      <c r="A7" s="35" t="s">
        <v>22</v>
      </c>
      <c r="B7" s="35" t="s">
        <v>387</v>
      </c>
      <c r="C7" s="35" t="s">
        <v>24</v>
      </c>
      <c r="D7" s="23">
        <v>7.03</v>
      </c>
      <c r="E7" s="23">
        <v>40.619999999999997</v>
      </c>
      <c r="F7" s="23">
        <v>47.33</v>
      </c>
      <c r="G7" s="23">
        <v>29.46</v>
      </c>
      <c r="H7" s="23">
        <v>80.44</v>
      </c>
      <c r="I7" s="23">
        <v>66.97</v>
      </c>
      <c r="J7" s="23">
        <v>13.11</v>
      </c>
      <c r="K7" s="23">
        <v>171.3</v>
      </c>
      <c r="L7" s="23">
        <v>992.1</v>
      </c>
      <c r="M7" s="23">
        <v>0.9</v>
      </c>
      <c r="N7" s="23">
        <v>5</v>
      </c>
      <c r="O7" s="23">
        <v>488.3</v>
      </c>
      <c r="P7" s="23">
        <v>893.26</v>
      </c>
      <c r="Q7" s="23">
        <v>404.96</v>
      </c>
      <c r="R7" s="23">
        <v>590</v>
      </c>
      <c r="S7" s="23">
        <v>589</v>
      </c>
      <c r="T7" s="23">
        <v>-1</v>
      </c>
      <c r="U7" s="23">
        <v>998.8</v>
      </c>
      <c r="V7" s="23">
        <v>998.8</v>
      </c>
      <c r="W7" s="23">
        <v>961.24</v>
      </c>
      <c r="X7" s="23">
        <v>961.24</v>
      </c>
      <c r="Y7" s="23">
        <v>0</v>
      </c>
      <c r="Z7" s="23">
        <v>589</v>
      </c>
      <c r="AA7" s="23">
        <v>589</v>
      </c>
      <c r="AB7" s="23">
        <v>0</v>
      </c>
      <c r="AC7" s="23">
        <v>1231.5</v>
      </c>
      <c r="AD7" s="23">
        <v>1603.7</v>
      </c>
      <c r="AE7" s="23">
        <v>0.2</v>
      </c>
      <c r="AF7" s="23">
        <v>1</v>
      </c>
      <c r="AG7" s="23">
        <v>1360.76</v>
      </c>
      <c r="AH7" s="23">
        <v>1170.03</v>
      </c>
      <c r="AI7" s="23">
        <v>-190.73</v>
      </c>
      <c r="AJ7" s="23">
        <v>579</v>
      </c>
      <c r="AK7" s="23">
        <v>620</v>
      </c>
      <c r="AL7" s="23">
        <v>41</v>
      </c>
      <c r="AM7" s="35" t="s">
        <v>425</v>
      </c>
      <c r="AN7" s="23">
        <v>60.16</v>
      </c>
      <c r="AO7" s="35" t="s">
        <v>402</v>
      </c>
    </row>
    <row r="8" spans="1:41" x14ac:dyDescent="0.25">
      <c r="A8" s="35" t="s">
        <v>22</v>
      </c>
      <c r="B8" s="35" t="s">
        <v>385</v>
      </c>
      <c r="C8" s="35" t="s">
        <v>50</v>
      </c>
      <c r="D8" s="23">
        <v>95.18</v>
      </c>
      <c r="E8" s="23">
        <v>233.93</v>
      </c>
      <c r="F8" s="23">
        <v>6.7</v>
      </c>
      <c r="G8" s="23">
        <v>4.03</v>
      </c>
      <c r="H8" s="23">
        <v>10.31</v>
      </c>
      <c r="I8" s="23">
        <v>8.5299999999999994</v>
      </c>
      <c r="J8" s="23">
        <v>1.38</v>
      </c>
      <c r="K8" s="23">
        <v>93.9</v>
      </c>
      <c r="L8" s="23">
        <v>221</v>
      </c>
      <c r="M8" s="23">
        <v>5</v>
      </c>
      <c r="N8" s="23">
        <v>5</v>
      </c>
      <c r="O8" s="23">
        <v>490.12</v>
      </c>
      <c r="P8" s="23">
        <v>499.53</v>
      </c>
      <c r="Q8" s="23">
        <v>9.41</v>
      </c>
      <c r="R8" s="23">
        <v>591</v>
      </c>
      <c r="S8" s="23">
        <v>590</v>
      </c>
      <c r="T8" s="23">
        <v>-1</v>
      </c>
      <c r="U8" s="23">
        <v>62.8</v>
      </c>
      <c r="V8" s="23">
        <v>104.1</v>
      </c>
      <c r="W8" s="23">
        <v>535.26</v>
      </c>
      <c r="X8" s="23">
        <v>552.64</v>
      </c>
      <c r="Y8" s="23">
        <v>17.38</v>
      </c>
      <c r="Z8" s="23">
        <v>591</v>
      </c>
      <c r="AA8" s="23">
        <v>591</v>
      </c>
      <c r="AB8" s="23">
        <v>0</v>
      </c>
      <c r="AC8" s="23">
        <v>54.1</v>
      </c>
      <c r="AD8" s="23">
        <v>89.4</v>
      </c>
      <c r="AE8" s="23">
        <v>5</v>
      </c>
      <c r="AF8" s="23">
        <v>11</v>
      </c>
      <c r="AG8" s="23">
        <v>609.57000000000005</v>
      </c>
      <c r="AH8" s="23">
        <v>610.79</v>
      </c>
      <c r="AI8" s="23">
        <v>1.22</v>
      </c>
      <c r="AJ8" s="23">
        <v>683</v>
      </c>
      <c r="AK8" s="23">
        <v>649</v>
      </c>
      <c r="AL8" s="23">
        <v>-34</v>
      </c>
      <c r="AM8" s="35" t="s">
        <v>425</v>
      </c>
      <c r="AN8" s="23">
        <v>56.82</v>
      </c>
      <c r="AO8" s="35" t="s">
        <v>402</v>
      </c>
    </row>
    <row r="9" spans="1:41" x14ac:dyDescent="0.25">
      <c r="A9" s="35" t="s">
        <v>22</v>
      </c>
      <c r="B9" s="35" t="s">
        <v>384</v>
      </c>
      <c r="C9" s="35" t="s">
        <v>50</v>
      </c>
      <c r="D9" s="23">
        <v>22.64</v>
      </c>
      <c r="E9" s="23">
        <v>74.03</v>
      </c>
      <c r="F9" s="23">
        <v>14.61</v>
      </c>
      <c r="G9" s="23">
        <v>10.25</v>
      </c>
      <c r="H9" s="23">
        <v>17.010000000000002</v>
      </c>
      <c r="I9" s="23">
        <v>16.62</v>
      </c>
      <c r="J9" s="23">
        <v>2.04</v>
      </c>
      <c r="K9" s="23">
        <v>94.5</v>
      </c>
      <c r="L9" s="23">
        <v>189</v>
      </c>
      <c r="M9" s="23">
        <v>3</v>
      </c>
      <c r="N9" s="23">
        <v>3</v>
      </c>
      <c r="O9" s="23">
        <v>496.45</v>
      </c>
      <c r="P9" s="23">
        <v>495.2</v>
      </c>
      <c r="Q9" s="23">
        <v>-1.25</v>
      </c>
      <c r="R9" s="23">
        <v>592</v>
      </c>
      <c r="S9" s="23">
        <v>592</v>
      </c>
      <c r="T9" s="23">
        <v>0</v>
      </c>
      <c r="U9" s="23">
        <v>23.1</v>
      </c>
      <c r="V9" s="23">
        <v>46.1</v>
      </c>
      <c r="W9" s="23">
        <v>518.14</v>
      </c>
      <c r="X9" s="23">
        <v>518.14</v>
      </c>
      <c r="Y9" s="23">
        <v>0</v>
      </c>
      <c r="Z9" s="23">
        <v>591</v>
      </c>
      <c r="AA9" s="23">
        <v>591</v>
      </c>
      <c r="AB9" s="23">
        <v>0</v>
      </c>
      <c r="AC9" s="23">
        <v>107.4</v>
      </c>
      <c r="AD9" s="23">
        <v>348.8</v>
      </c>
      <c r="AE9" s="23">
        <v>15</v>
      </c>
      <c r="AF9" s="23">
        <v>26</v>
      </c>
      <c r="AG9" s="23">
        <v>678.15</v>
      </c>
      <c r="AH9" s="23">
        <v>649.25</v>
      </c>
      <c r="AI9" s="23">
        <v>-28.9</v>
      </c>
      <c r="AJ9" s="23">
        <v>664</v>
      </c>
      <c r="AK9" s="23">
        <v>663</v>
      </c>
      <c r="AL9" s="23">
        <v>-1</v>
      </c>
      <c r="AM9" s="35" t="s">
        <v>425</v>
      </c>
      <c r="AN9" s="23">
        <v>56.82</v>
      </c>
      <c r="AO9" s="35" t="s">
        <v>402</v>
      </c>
    </row>
    <row r="10" spans="1:41" x14ac:dyDescent="0.25">
      <c r="A10" s="35" t="s">
        <v>22</v>
      </c>
      <c r="B10" s="35" t="s">
        <v>386</v>
      </c>
      <c r="C10" s="35" t="s">
        <v>75</v>
      </c>
      <c r="D10" s="23">
        <v>180.37</v>
      </c>
      <c r="E10" s="23">
        <v>415.89</v>
      </c>
      <c r="F10" s="23">
        <v>4.07</v>
      </c>
      <c r="G10" s="23">
        <v>3.22</v>
      </c>
      <c r="H10" s="23">
        <v>12.16</v>
      </c>
      <c r="I10" s="23">
        <v>5.59</v>
      </c>
      <c r="J10" s="23">
        <v>1.66</v>
      </c>
      <c r="K10" s="23">
        <v>220.1</v>
      </c>
      <c r="L10" s="23">
        <v>377</v>
      </c>
      <c r="M10" s="23">
        <v>5</v>
      </c>
      <c r="N10" s="23">
        <v>6</v>
      </c>
      <c r="O10" s="23">
        <v>495.89</v>
      </c>
      <c r="P10" s="23">
        <v>537.80999999999995</v>
      </c>
      <c r="Q10" s="23">
        <v>41.92</v>
      </c>
      <c r="R10" s="23">
        <v>591</v>
      </c>
      <c r="S10" s="23">
        <v>592</v>
      </c>
      <c r="T10" s="23">
        <v>1</v>
      </c>
      <c r="U10" s="23">
        <v>121.3</v>
      </c>
      <c r="V10" s="23">
        <v>177.4</v>
      </c>
      <c r="W10" s="23">
        <v>576.21</v>
      </c>
      <c r="X10" s="23">
        <v>794.05</v>
      </c>
      <c r="Y10" s="23">
        <v>217.84</v>
      </c>
      <c r="Z10" s="23">
        <v>609</v>
      </c>
      <c r="AA10" s="23">
        <v>609</v>
      </c>
      <c r="AB10" s="23">
        <v>0</v>
      </c>
      <c r="AC10" s="23">
        <v>517</v>
      </c>
      <c r="AD10" s="23">
        <v>606.9</v>
      </c>
      <c r="AE10" s="23">
        <v>0</v>
      </c>
      <c r="AF10" s="23">
        <v>0</v>
      </c>
      <c r="AG10" s="23">
        <v>1136.32</v>
      </c>
      <c r="AH10" s="23">
        <v>1082.8699999999999</v>
      </c>
      <c r="AI10" s="23">
        <v>-53.45</v>
      </c>
      <c r="AJ10" s="23">
        <v>643</v>
      </c>
      <c r="AK10" s="23">
        <v>643</v>
      </c>
      <c r="AL10" s="23">
        <v>0</v>
      </c>
      <c r="AM10" s="35" t="s">
        <v>425</v>
      </c>
      <c r="AN10" s="23">
        <v>56.82</v>
      </c>
      <c r="AO10" s="35" t="s">
        <v>402</v>
      </c>
    </row>
    <row r="11" spans="1:41" x14ac:dyDescent="0.25">
      <c r="A11" s="35" t="s">
        <v>22</v>
      </c>
      <c r="B11" s="35" t="s">
        <v>385</v>
      </c>
      <c r="C11" s="35" t="s">
        <v>75</v>
      </c>
      <c r="D11" s="23">
        <v>184.65</v>
      </c>
      <c r="E11" s="23">
        <v>2373.59</v>
      </c>
      <c r="F11" s="23">
        <v>8.1999999999999993</v>
      </c>
      <c r="G11" s="23">
        <v>5.82</v>
      </c>
      <c r="H11" s="23">
        <v>11.37</v>
      </c>
      <c r="I11" s="23">
        <v>10.42</v>
      </c>
      <c r="J11" s="23">
        <v>1.46</v>
      </c>
      <c r="K11" s="23">
        <v>286</v>
      </c>
      <c r="L11" s="23">
        <v>909.7</v>
      </c>
      <c r="M11" s="23">
        <v>4</v>
      </c>
      <c r="N11" s="23">
        <v>4</v>
      </c>
      <c r="O11" s="23">
        <v>488.3</v>
      </c>
      <c r="P11" s="23">
        <v>496.71</v>
      </c>
      <c r="Q11" s="23">
        <v>8.41</v>
      </c>
      <c r="R11" s="23">
        <v>591</v>
      </c>
      <c r="S11" s="23">
        <v>591</v>
      </c>
      <c r="T11" s="23">
        <v>0</v>
      </c>
      <c r="U11" s="23">
        <v>216.4</v>
      </c>
      <c r="V11" s="23">
        <v>1034</v>
      </c>
      <c r="W11" s="23">
        <v>531.12</v>
      </c>
      <c r="X11" s="23">
        <v>1015.31</v>
      </c>
      <c r="Y11" s="23">
        <v>484.19</v>
      </c>
      <c r="Z11" s="23">
        <v>591</v>
      </c>
      <c r="AA11" s="23">
        <v>609</v>
      </c>
      <c r="AB11" s="23">
        <v>18</v>
      </c>
      <c r="AC11" s="23">
        <v>876.9</v>
      </c>
      <c r="AD11" s="23">
        <v>1028.4000000000001</v>
      </c>
      <c r="AE11" s="23">
        <v>0</v>
      </c>
      <c r="AF11" s="23">
        <v>0</v>
      </c>
      <c r="AG11" s="23">
        <v>1328.74</v>
      </c>
      <c r="AH11" s="23">
        <v>1352.39</v>
      </c>
      <c r="AI11" s="23">
        <v>23.65</v>
      </c>
      <c r="AJ11" s="23">
        <v>681</v>
      </c>
      <c r="AK11" s="23">
        <v>681</v>
      </c>
      <c r="AL11" s="23">
        <v>0</v>
      </c>
      <c r="AM11" s="35" t="s">
        <v>425</v>
      </c>
      <c r="AN11" s="23">
        <v>56.82</v>
      </c>
      <c r="AO11" s="35" t="s">
        <v>402</v>
      </c>
    </row>
    <row r="12" spans="1:41" x14ac:dyDescent="0.25">
      <c r="A12" s="35" t="s">
        <v>22</v>
      </c>
      <c r="B12" s="35" t="s">
        <v>384</v>
      </c>
      <c r="C12" s="35" t="s">
        <v>75</v>
      </c>
      <c r="D12" s="23">
        <v>104.94</v>
      </c>
      <c r="E12" s="23">
        <v>83.85</v>
      </c>
      <c r="F12" s="23">
        <v>10.199999999999999</v>
      </c>
      <c r="G12" s="23">
        <v>9.3699999999999992</v>
      </c>
      <c r="H12" s="23">
        <v>11.29</v>
      </c>
      <c r="I12" s="23">
        <v>11</v>
      </c>
      <c r="J12" s="23">
        <v>0.51</v>
      </c>
      <c r="K12" s="23">
        <v>218.4</v>
      </c>
      <c r="L12" s="23">
        <v>509.6</v>
      </c>
      <c r="M12" s="23">
        <v>5</v>
      </c>
      <c r="N12" s="23">
        <v>5</v>
      </c>
      <c r="O12" s="23">
        <v>489.13</v>
      </c>
      <c r="P12" s="23">
        <v>508.94</v>
      </c>
      <c r="Q12" s="23">
        <v>19.809999999999999</v>
      </c>
      <c r="R12" s="23">
        <v>590</v>
      </c>
      <c r="S12" s="23">
        <v>608</v>
      </c>
      <c r="T12" s="23">
        <v>18</v>
      </c>
      <c r="U12" s="23">
        <v>64.5</v>
      </c>
      <c r="V12" s="23">
        <v>128.9</v>
      </c>
      <c r="W12" s="23">
        <v>552.80999999999995</v>
      </c>
      <c r="X12" s="23">
        <v>552.80999999999995</v>
      </c>
      <c r="Y12" s="23">
        <v>0</v>
      </c>
      <c r="Z12" s="23">
        <v>608</v>
      </c>
      <c r="AA12" s="23">
        <v>608</v>
      </c>
      <c r="AB12" s="23">
        <v>0</v>
      </c>
      <c r="AC12" s="23">
        <v>123.5</v>
      </c>
      <c r="AD12" s="23">
        <v>264.7</v>
      </c>
      <c r="AE12" s="23">
        <v>2.8</v>
      </c>
      <c r="AF12" s="23">
        <v>3</v>
      </c>
      <c r="AG12" s="23">
        <v>728.13</v>
      </c>
      <c r="AH12" s="23">
        <v>708.64</v>
      </c>
      <c r="AI12" s="23">
        <v>-19.489999999999998</v>
      </c>
      <c r="AJ12" s="23">
        <v>681</v>
      </c>
      <c r="AK12" s="23">
        <v>681</v>
      </c>
      <c r="AL12" s="23">
        <v>0</v>
      </c>
      <c r="AM12" s="35" t="s">
        <v>425</v>
      </c>
      <c r="AN12" s="23">
        <v>56.82</v>
      </c>
      <c r="AO12" s="35" t="s">
        <v>402</v>
      </c>
    </row>
    <row r="13" spans="1:41" x14ac:dyDescent="0.25">
      <c r="A13" s="35" t="s">
        <v>22</v>
      </c>
      <c r="B13" s="35" t="s">
        <v>387</v>
      </c>
      <c r="C13" s="35" t="s">
        <v>75</v>
      </c>
      <c r="D13" s="23">
        <v>8.15</v>
      </c>
      <c r="E13" s="23">
        <v>341.81</v>
      </c>
      <c r="F13" s="23">
        <v>34.450000000000003</v>
      </c>
      <c r="G13" s="23">
        <v>23.74</v>
      </c>
      <c r="H13" s="23">
        <v>66.39</v>
      </c>
      <c r="I13" s="23">
        <v>45.8</v>
      </c>
      <c r="J13" s="23">
        <v>9.0299999999999994</v>
      </c>
      <c r="K13" s="23">
        <v>152.6</v>
      </c>
      <c r="L13" s="23">
        <v>993.2</v>
      </c>
      <c r="M13" s="23">
        <v>1.6</v>
      </c>
      <c r="N13" s="23">
        <v>6</v>
      </c>
      <c r="O13" s="23">
        <v>490.43</v>
      </c>
      <c r="P13" s="23">
        <v>909.79</v>
      </c>
      <c r="Q13" s="23">
        <v>419.36</v>
      </c>
      <c r="R13" s="23">
        <v>590</v>
      </c>
      <c r="S13" s="23">
        <v>589</v>
      </c>
      <c r="T13" s="23">
        <v>-1</v>
      </c>
      <c r="U13" s="23">
        <v>1019.5</v>
      </c>
      <c r="V13" s="23">
        <v>1064.2</v>
      </c>
      <c r="W13" s="23">
        <v>1010.27</v>
      </c>
      <c r="X13" s="23">
        <v>1210.6600000000001</v>
      </c>
      <c r="Y13" s="23">
        <v>200.39</v>
      </c>
      <c r="Z13" s="23">
        <v>589</v>
      </c>
      <c r="AA13" s="23">
        <v>612</v>
      </c>
      <c r="AB13" s="23">
        <v>23</v>
      </c>
      <c r="AC13" s="23">
        <v>983.8</v>
      </c>
      <c r="AD13" s="23">
        <v>1217.7</v>
      </c>
      <c r="AE13" s="23">
        <v>7.4</v>
      </c>
      <c r="AF13" s="23">
        <v>10</v>
      </c>
      <c r="AG13" s="23">
        <v>1418.32</v>
      </c>
      <c r="AH13" s="23">
        <v>1236.4000000000001</v>
      </c>
      <c r="AI13" s="23">
        <v>-181.92</v>
      </c>
      <c r="AJ13" s="23">
        <v>654</v>
      </c>
      <c r="AK13" s="23">
        <v>691</v>
      </c>
      <c r="AL13" s="23">
        <v>37</v>
      </c>
      <c r="AM13" s="35" t="s">
        <v>425</v>
      </c>
      <c r="AN13" s="23">
        <v>60.16</v>
      </c>
      <c r="AO13" s="35" t="s">
        <v>402</v>
      </c>
    </row>
    <row r="14" spans="1:41" x14ac:dyDescent="0.25">
      <c r="A14" s="35" t="s">
        <v>22</v>
      </c>
      <c r="B14" s="35" t="s">
        <v>385</v>
      </c>
      <c r="C14" s="35" t="s">
        <v>178</v>
      </c>
      <c r="D14" s="23">
        <v>186.51</v>
      </c>
      <c r="E14" s="23">
        <v>2217.7800000000002</v>
      </c>
      <c r="F14" s="23">
        <v>3.13</v>
      </c>
      <c r="G14" s="23">
        <v>2.4700000000000002</v>
      </c>
      <c r="H14" s="23">
        <v>3.75</v>
      </c>
      <c r="I14" s="23">
        <v>3.53</v>
      </c>
      <c r="J14" s="23">
        <v>0.32</v>
      </c>
      <c r="K14" s="23">
        <v>95.7</v>
      </c>
      <c r="L14" s="23">
        <v>249.3</v>
      </c>
      <c r="M14" s="23">
        <v>4</v>
      </c>
      <c r="N14" s="23">
        <v>5</v>
      </c>
      <c r="O14" s="23">
        <v>486.31</v>
      </c>
      <c r="P14" s="23">
        <v>494.43</v>
      </c>
      <c r="Q14" s="23">
        <v>8.1199999999999992</v>
      </c>
      <c r="R14" s="23">
        <v>590</v>
      </c>
      <c r="S14" s="23">
        <v>589</v>
      </c>
      <c r="T14" s="23">
        <v>-1</v>
      </c>
      <c r="U14" s="23">
        <v>204.3</v>
      </c>
      <c r="V14" s="23">
        <v>527.6</v>
      </c>
      <c r="W14" s="23">
        <v>530.38</v>
      </c>
      <c r="X14" s="23">
        <v>908.88</v>
      </c>
      <c r="Y14" s="23">
        <v>378.5</v>
      </c>
      <c r="Z14" s="23">
        <v>589</v>
      </c>
      <c r="AA14" s="23">
        <v>589</v>
      </c>
      <c r="AB14" s="23">
        <v>0</v>
      </c>
      <c r="AC14" s="23">
        <v>505.4</v>
      </c>
      <c r="AD14" s="23">
        <v>637.79999999999995</v>
      </c>
      <c r="AE14" s="23">
        <v>0</v>
      </c>
      <c r="AF14" s="23">
        <v>0</v>
      </c>
      <c r="AG14" s="23">
        <v>896.75</v>
      </c>
      <c r="AH14" s="23">
        <v>951.24</v>
      </c>
      <c r="AI14" s="23">
        <v>54.49</v>
      </c>
      <c r="AJ14" s="23">
        <v>589</v>
      </c>
      <c r="AK14" s="23">
        <v>589</v>
      </c>
      <c r="AL14" s="23">
        <v>0</v>
      </c>
      <c r="AM14" s="35" t="s">
        <v>425</v>
      </c>
      <c r="AN14" s="23">
        <v>56.82</v>
      </c>
      <c r="AO14" s="35" t="s">
        <v>402</v>
      </c>
    </row>
    <row r="15" spans="1:41" x14ac:dyDescent="0.25">
      <c r="A15" s="35" t="s">
        <v>22</v>
      </c>
      <c r="B15" s="35" t="s">
        <v>387</v>
      </c>
      <c r="C15" s="35" t="s">
        <v>178</v>
      </c>
      <c r="D15" s="23">
        <v>10.4</v>
      </c>
      <c r="E15" s="23">
        <v>216.09</v>
      </c>
      <c r="F15" s="23">
        <v>44.68</v>
      </c>
      <c r="G15" s="23">
        <v>32.619999999999997</v>
      </c>
      <c r="H15" s="23">
        <v>82.84</v>
      </c>
      <c r="I15" s="23">
        <v>65.03</v>
      </c>
      <c r="J15" s="23">
        <v>11.96</v>
      </c>
      <c r="K15" s="23">
        <v>185.7</v>
      </c>
      <c r="L15" s="23">
        <v>1103</v>
      </c>
      <c r="M15" s="23">
        <v>2.2999999999999998</v>
      </c>
      <c r="N15" s="23">
        <v>11</v>
      </c>
      <c r="O15" s="23">
        <v>493.52</v>
      </c>
      <c r="P15" s="23">
        <v>929.91</v>
      </c>
      <c r="Q15" s="23">
        <v>436.39</v>
      </c>
      <c r="R15" s="23">
        <v>638</v>
      </c>
      <c r="S15" s="23">
        <v>651</v>
      </c>
      <c r="T15" s="23">
        <v>13</v>
      </c>
      <c r="U15" s="23">
        <v>982.3</v>
      </c>
      <c r="V15" s="23">
        <v>992.4</v>
      </c>
      <c r="W15" s="23">
        <v>987.59</v>
      </c>
      <c r="X15" s="23">
        <v>1097.8699999999999</v>
      </c>
      <c r="Y15" s="23">
        <v>110.28</v>
      </c>
      <c r="Z15" s="23">
        <v>651</v>
      </c>
      <c r="AA15" s="23">
        <v>651</v>
      </c>
      <c r="AB15" s="23">
        <v>0</v>
      </c>
      <c r="AC15" s="23">
        <v>1265.3</v>
      </c>
      <c r="AD15" s="23">
        <v>1650.9</v>
      </c>
      <c r="AE15" s="23">
        <v>0.2</v>
      </c>
      <c r="AF15" s="23">
        <v>1</v>
      </c>
      <c r="AG15" s="23">
        <v>1396.84</v>
      </c>
      <c r="AH15" s="23">
        <v>1216.7</v>
      </c>
      <c r="AI15" s="23">
        <v>-180.14</v>
      </c>
      <c r="AJ15" s="23">
        <v>641</v>
      </c>
      <c r="AK15" s="23">
        <v>675</v>
      </c>
      <c r="AL15" s="23">
        <v>34</v>
      </c>
      <c r="AM15" s="35" t="s">
        <v>425</v>
      </c>
      <c r="AN15" s="23">
        <v>60.16</v>
      </c>
      <c r="AO15" s="35" t="s">
        <v>402</v>
      </c>
    </row>
    <row r="27" spans="2:10" x14ac:dyDescent="0.25">
      <c r="B27" s="2" t="s">
        <v>1</v>
      </c>
      <c r="C27" s="2" t="s">
        <v>2</v>
      </c>
      <c r="D27" s="2" t="s">
        <v>431</v>
      </c>
      <c r="E27" s="2" t="s">
        <v>432</v>
      </c>
      <c r="F27" s="2" t="s">
        <v>434</v>
      </c>
      <c r="G27" s="2" t="s">
        <v>435</v>
      </c>
      <c r="H27" s="2" t="s">
        <v>19</v>
      </c>
      <c r="I27" s="2" t="s">
        <v>20</v>
      </c>
    </row>
    <row r="28" spans="2:10" x14ac:dyDescent="0.25">
      <c r="B28" s="38" t="s">
        <v>388</v>
      </c>
      <c r="C28" s="38" t="s">
        <v>341</v>
      </c>
      <c r="D28" s="36">
        <v>650</v>
      </c>
      <c r="E28" s="36">
        <v>650</v>
      </c>
      <c r="F28" s="36">
        <v>649</v>
      </c>
      <c r="G28" s="36">
        <v>649</v>
      </c>
      <c r="H28" s="36">
        <v>649</v>
      </c>
      <c r="I28" s="36">
        <v>649</v>
      </c>
      <c r="J28" s="23">
        <f>I28-D28</f>
        <v>-1</v>
      </c>
    </row>
    <row r="29" spans="2:10" x14ac:dyDescent="0.25">
      <c r="B29" s="43" t="s">
        <v>388</v>
      </c>
      <c r="C29" s="43" t="s">
        <v>361</v>
      </c>
      <c r="D29" s="37">
        <v>652</v>
      </c>
      <c r="E29" s="37">
        <v>652</v>
      </c>
      <c r="F29" s="37">
        <v>651</v>
      </c>
      <c r="G29" s="37">
        <v>810</v>
      </c>
      <c r="H29" s="37">
        <v>836</v>
      </c>
      <c r="I29" s="37">
        <v>836</v>
      </c>
      <c r="J29" s="23">
        <f t="shared" ref="J29:J41" si="0">I29-D29</f>
        <v>184</v>
      </c>
    </row>
    <row r="30" spans="2:10" x14ac:dyDescent="0.25">
      <c r="B30" s="38" t="s">
        <v>386</v>
      </c>
      <c r="C30" s="38" t="s">
        <v>24</v>
      </c>
      <c r="D30" s="36">
        <v>591</v>
      </c>
      <c r="E30" s="36">
        <v>599</v>
      </c>
      <c r="F30" s="36">
        <v>610</v>
      </c>
      <c r="G30" s="36">
        <v>610</v>
      </c>
      <c r="H30" s="36">
        <v>610</v>
      </c>
      <c r="I30" s="36">
        <v>610</v>
      </c>
      <c r="J30" s="23">
        <f t="shared" si="0"/>
        <v>19</v>
      </c>
    </row>
    <row r="31" spans="2:10" x14ac:dyDescent="0.25">
      <c r="B31" s="43" t="s">
        <v>385</v>
      </c>
      <c r="C31" s="43" t="s">
        <v>24</v>
      </c>
      <c r="D31" s="37">
        <v>592</v>
      </c>
      <c r="E31" s="37">
        <v>591</v>
      </c>
      <c r="F31" s="37">
        <v>591</v>
      </c>
      <c r="G31" s="37">
        <v>590</v>
      </c>
      <c r="H31" s="37">
        <v>590</v>
      </c>
      <c r="I31" s="37">
        <v>590</v>
      </c>
      <c r="J31" s="23">
        <f t="shared" si="0"/>
        <v>-2</v>
      </c>
    </row>
    <row r="32" spans="2:10" x14ac:dyDescent="0.25">
      <c r="B32" s="38" t="s">
        <v>384</v>
      </c>
      <c r="C32" s="38" t="s">
        <v>24</v>
      </c>
      <c r="D32" s="36">
        <v>591</v>
      </c>
      <c r="E32" s="36">
        <v>590</v>
      </c>
      <c r="F32" s="36">
        <v>591</v>
      </c>
      <c r="G32" s="36">
        <v>591</v>
      </c>
      <c r="H32" s="36">
        <v>591</v>
      </c>
      <c r="I32" s="36">
        <v>591</v>
      </c>
      <c r="J32" s="23">
        <f t="shared" si="0"/>
        <v>0</v>
      </c>
    </row>
    <row r="33" spans="2:10" x14ac:dyDescent="0.25">
      <c r="B33" s="43" t="s">
        <v>387</v>
      </c>
      <c r="C33" s="43" t="s">
        <v>24</v>
      </c>
      <c r="D33" s="37">
        <v>590</v>
      </c>
      <c r="E33" s="37">
        <v>589</v>
      </c>
      <c r="F33" s="37">
        <v>589</v>
      </c>
      <c r="G33" s="37">
        <v>589</v>
      </c>
      <c r="H33" s="37">
        <v>579</v>
      </c>
      <c r="I33" s="37">
        <v>620</v>
      </c>
      <c r="J33" s="23">
        <f t="shared" si="0"/>
        <v>30</v>
      </c>
    </row>
    <row r="34" spans="2:10" x14ac:dyDescent="0.25">
      <c r="B34" s="38" t="s">
        <v>385</v>
      </c>
      <c r="C34" s="38" t="s">
        <v>50</v>
      </c>
      <c r="D34" s="36">
        <v>591</v>
      </c>
      <c r="E34" s="36">
        <v>590</v>
      </c>
      <c r="F34" s="36">
        <v>591</v>
      </c>
      <c r="G34" s="36">
        <v>591</v>
      </c>
      <c r="H34" s="36">
        <v>683</v>
      </c>
      <c r="I34" s="36">
        <v>649</v>
      </c>
      <c r="J34" s="23">
        <f t="shared" si="0"/>
        <v>58</v>
      </c>
    </row>
    <row r="35" spans="2:10" x14ac:dyDescent="0.25">
      <c r="B35" s="43" t="s">
        <v>384</v>
      </c>
      <c r="C35" s="43" t="s">
        <v>50</v>
      </c>
      <c r="D35" s="37">
        <v>592</v>
      </c>
      <c r="E35" s="37">
        <v>592</v>
      </c>
      <c r="F35" s="37">
        <v>591</v>
      </c>
      <c r="G35" s="37">
        <v>591</v>
      </c>
      <c r="H35" s="37">
        <v>664</v>
      </c>
      <c r="I35" s="37">
        <v>663</v>
      </c>
      <c r="J35" s="23">
        <f t="shared" si="0"/>
        <v>71</v>
      </c>
    </row>
    <row r="36" spans="2:10" x14ac:dyDescent="0.25">
      <c r="B36" s="38" t="s">
        <v>386</v>
      </c>
      <c r="C36" s="38" t="s">
        <v>75</v>
      </c>
      <c r="D36" s="36">
        <v>591</v>
      </c>
      <c r="E36" s="36">
        <v>592</v>
      </c>
      <c r="F36" s="36">
        <v>609</v>
      </c>
      <c r="G36" s="36">
        <v>609</v>
      </c>
      <c r="H36" s="36">
        <v>643</v>
      </c>
      <c r="I36" s="36">
        <v>643</v>
      </c>
      <c r="J36" s="23">
        <f t="shared" si="0"/>
        <v>52</v>
      </c>
    </row>
    <row r="37" spans="2:10" x14ac:dyDescent="0.25">
      <c r="B37" s="43" t="s">
        <v>385</v>
      </c>
      <c r="C37" s="43" t="s">
        <v>75</v>
      </c>
      <c r="D37" s="37">
        <v>591</v>
      </c>
      <c r="E37" s="37">
        <v>591</v>
      </c>
      <c r="F37" s="37">
        <v>591</v>
      </c>
      <c r="G37" s="37">
        <v>609</v>
      </c>
      <c r="H37" s="37">
        <v>681</v>
      </c>
      <c r="I37" s="37">
        <v>681</v>
      </c>
      <c r="J37" s="23">
        <f t="shared" si="0"/>
        <v>90</v>
      </c>
    </row>
    <row r="38" spans="2:10" x14ac:dyDescent="0.25">
      <c r="B38" s="38" t="s">
        <v>384</v>
      </c>
      <c r="C38" s="38" t="s">
        <v>75</v>
      </c>
      <c r="D38" s="36">
        <v>590</v>
      </c>
      <c r="E38" s="36">
        <v>608</v>
      </c>
      <c r="F38" s="36">
        <v>608</v>
      </c>
      <c r="G38" s="36">
        <v>608</v>
      </c>
      <c r="H38" s="36">
        <v>681</v>
      </c>
      <c r="I38" s="36">
        <v>681</v>
      </c>
      <c r="J38" s="23">
        <f t="shared" si="0"/>
        <v>91</v>
      </c>
    </row>
    <row r="39" spans="2:10" x14ac:dyDescent="0.25">
      <c r="B39" s="43" t="s">
        <v>387</v>
      </c>
      <c r="C39" s="43" t="s">
        <v>75</v>
      </c>
      <c r="D39" s="37">
        <v>590</v>
      </c>
      <c r="E39" s="37">
        <v>589</v>
      </c>
      <c r="F39" s="37">
        <v>589</v>
      </c>
      <c r="G39" s="37">
        <v>612</v>
      </c>
      <c r="H39" s="37">
        <v>654</v>
      </c>
      <c r="I39" s="37">
        <v>691</v>
      </c>
      <c r="J39" s="23">
        <f t="shared" si="0"/>
        <v>101</v>
      </c>
    </row>
    <row r="40" spans="2:10" x14ac:dyDescent="0.25">
      <c r="B40" s="38" t="s">
        <v>385</v>
      </c>
      <c r="C40" s="38" t="s">
        <v>178</v>
      </c>
      <c r="D40" s="36">
        <v>590</v>
      </c>
      <c r="E40" s="36">
        <v>589</v>
      </c>
      <c r="F40" s="36">
        <v>589</v>
      </c>
      <c r="G40" s="36">
        <v>589</v>
      </c>
      <c r="H40" s="36">
        <v>589</v>
      </c>
      <c r="I40" s="36">
        <v>589</v>
      </c>
      <c r="J40" s="23">
        <f t="shared" si="0"/>
        <v>-1</v>
      </c>
    </row>
    <row r="41" spans="2:10" x14ac:dyDescent="0.25">
      <c r="B41" s="43" t="s">
        <v>387</v>
      </c>
      <c r="C41" s="43" t="s">
        <v>178</v>
      </c>
      <c r="D41" s="37">
        <v>638</v>
      </c>
      <c r="E41" s="37">
        <v>651</v>
      </c>
      <c r="F41" s="37">
        <v>651</v>
      </c>
      <c r="G41" s="37">
        <v>651</v>
      </c>
      <c r="H41" s="37">
        <v>641</v>
      </c>
      <c r="I41" s="37">
        <v>675</v>
      </c>
      <c r="J41" s="23">
        <f t="shared" si="0"/>
        <v>37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DB216-FCCA-428F-8832-9E3AF56B1807}">
  <dimension ref="A1:AO79"/>
  <sheetViews>
    <sheetView tabSelected="1" topLeftCell="A10" zoomScale="70" zoomScaleNormal="70" workbookViewId="0">
      <selection activeCell="M67" sqref="M67"/>
    </sheetView>
  </sheetViews>
  <sheetFormatPr defaultRowHeight="15" x14ac:dyDescent="0.25"/>
  <cols>
    <col min="1" max="1" width="16.85546875" bestFit="1" customWidth="1"/>
    <col min="2" max="2" width="14.85546875" bestFit="1" customWidth="1"/>
    <col min="3" max="3" width="24.5703125" customWidth="1"/>
    <col min="4" max="4" width="25.85546875" customWidth="1"/>
    <col min="5" max="5" width="25.7109375" customWidth="1"/>
    <col min="6" max="6" width="24.85546875" customWidth="1"/>
    <col min="7" max="7" width="24" customWidth="1"/>
    <col min="8" max="8" width="23.140625" customWidth="1"/>
    <col min="9" max="9" width="20.85546875" customWidth="1"/>
    <col min="10" max="10" width="21.140625" bestFit="1" customWidth="1"/>
    <col min="11" max="11" width="17.42578125" bestFit="1" customWidth="1"/>
    <col min="12" max="12" width="18.42578125" bestFit="1" customWidth="1"/>
    <col min="13" max="13" width="17.7109375" bestFit="1" customWidth="1"/>
    <col min="14" max="14" width="18.7109375" bestFit="1" customWidth="1"/>
    <col min="15" max="15" width="25.140625" bestFit="1" customWidth="1"/>
    <col min="16" max="16" width="24.28515625" bestFit="1" customWidth="1"/>
    <col min="17" max="17" width="21.42578125" bestFit="1" customWidth="1"/>
    <col min="18" max="18" width="18.5703125" bestFit="1" customWidth="1"/>
    <col min="19" max="19" width="19.7109375" bestFit="1" customWidth="1"/>
    <col min="20" max="20" width="26.28515625" bestFit="1" customWidth="1"/>
    <col min="21" max="21" width="25.42578125" bestFit="1" customWidth="1"/>
    <col min="22" max="22" width="22.5703125" bestFit="1" customWidth="1"/>
    <col min="23" max="23" width="16.85546875" bestFit="1" customWidth="1"/>
    <col min="24" max="24" width="17.85546875" bestFit="1" customWidth="1"/>
    <col min="25" max="25" width="17.140625" bestFit="1" customWidth="1"/>
    <col min="26" max="26" width="18.140625" bestFit="1" customWidth="1"/>
    <col min="27" max="27" width="24.5703125" bestFit="1" customWidth="1"/>
    <col min="28" max="28" width="23.7109375" bestFit="1" customWidth="1"/>
    <col min="29" max="29" width="20.85546875" bestFit="1" customWidth="1"/>
    <col min="30" max="30" width="26.42578125" bestFit="1" customWidth="1"/>
    <col min="31" max="31" width="25.5703125" bestFit="1" customWidth="1"/>
    <col min="32" max="32" width="27" bestFit="1" customWidth="1"/>
    <col min="33" max="33" width="16.85546875" bestFit="1" customWidth="1"/>
    <col min="34" max="34" width="15.5703125" bestFit="1" customWidth="1"/>
    <col min="35" max="35" width="81.140625" bestFit="1" customWidth="1"/>
    <col min="38" max="38" width="14.7109375" customWidth="1"/>
    <col min="39" max="39" width="16.28515625" customWidth="1"/>
    <col min="40" max="40" width="25.7109375" customWidth="1"/>
  </cols>
  <sheetData>
    <row r="1" spans="1:41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414</v>
      </c>
      <c r="G1" t="s">
        <v>415</v>
      </c>
      <c r="H1" t="s">
        <v>416</v>
      </c>
      <c r="I1" t="s">
        <v>417</v>
      </c>
      <c r="J1" t="s">
        <v>427</v>
      </c>
      <c r="K1" t="s">
        <v>8</v>
      </c>
      <c r="L1" t="s">
        <v>9</v>
      </c>
      <c r="M1" t="s">
        <v>10</v>
      </c>
      <c r="N1" t="s">
        <v>11</v>
      </c>
      <c r="O1" t="s">
        <v>428</v>
      </c>
      <c r="P1" t="s">
        <v>429</v>
      </c>
      <c r="Q1" t="s">
        <v>430</v>
      </c>
      <c r="R1" t="s">
        <v>418</v>
      </c>
      <c r="S1" t="s">
        <v>419</v>
      </c>
      <c r="T1" t="s">
        <v>420</v>
      </c>
      <c r="U1" t="s">
        <v>421</v>
      </c>
      <c r="V1" t="s">
        <v>422</v>
      </c>
      <c r="W1" t="s">
        <v>12</v>
      </c>
      <c r="X1" t="s">
        <v>13</v>
      </c>
      <c r="Y1" t="s">
        <v>14</v>
      </c>
      <c r="Z1" t="s">
        <v>15</v>
      </c>
      <c r="AA1" t="s">
        <v>16</v>
      </c>
      <c r="AB1" t="s">
        <v>17</v>
      </c>
      <c r="AC1" t="s">
        <v>18</v>
      </c>
      <c r="AD1" s="23" t="s">
        <v>19</v>
      </c>
      <c r="AE1" s="23" t="s">
        <v>20</v>
      </c>
      <c r="AF1" s="23" t="s">
        <v>21</v>
      </c>
      <c r="AG1" t="s">
        <v>423</v>
      </c>
      <c r="AH1" t="s">
        <v>424</v>
      </c>
      <c r="AI1" t="s">
        <v>400</v>
      </c>
      <c r="AJ1" t="s">
        <v>431</v>
      </c>
      <c r="AK1" t="s">
        <v>432</v>
      </c>
      <c r="AL1" t="s">
        <v>433</v>
      </c>
      <c r="AM1" t="s">
        <v>738</v>
      </c>
      <c r="AN1" t="s">
        <v>435</v>
      </c>
      <c r="AO1" t="s">
        <v>436</v>
      </c>
    </row>
    <row r="2" spans="1:41" x14ac:dyDescent="0.25">
      <c r="A2" t="s">
        <v>401</v>
      </c>
      <c r="B2" t="s">
        <v>387</v>
      </c>
      <c r="C2" t="s">
        <v>389</v>
      </c>
      <c r="D2" s="23">
        <v>0.43</v>
      </c>
      <c r="E2" s="23">
        <v>522.30999999999995</v>
      </c>
      <c r="F2" s="23">
        <v>20.65</v>
      </c>
      <c r="G2" s="23">
        <v>13.73</v>
      </c>
      <c r="H2" s="23">
        <v>49.54</v>
      </c>
      <c r="I2" s="23">
        <v>38.39</v>
      </c>
      <c r="J2" s="23">
        <v>9.56</v>
      </c>
      <c r="K2" s="23">
        <v>323.89999999999998</v>
      </c>
      <c r="L2" s="23">
        <v>1642.4</v>
      </c>
      <c r="M2" s="23">
        <v>1.5</v>
      </c>
      <c r="N2" s="23">
        <v>6</v>
      </c>
      <c r="O2" s="23">
        <v>480.23</v>
      </c>
      <c r="P2" s="23">
        <v>2114.83</v>
      </c>
      <c r="Q2" s="23">
        <v>1634.6</v>
      </c>
      <c r="R2" s="23">
        <v>1461</v>
      </c>
      <c r="S2" s="23">
        <v>1519.2</v>
      </c>
      <c r="T2" s="23">
        <v>2248.9</v>
      </c>
      <c r="U2" s="23">
        <v>2640.72</v>
      </c>
      <c r="V2" s="23">
        <v>391.82</v>
      </c>
      <c r="W2" s="23">
        <v>1383.8</v>
      </c>
      <c r="X2" s="23">
        <v>1564</v>
      </c>
      <c r="Y2" s="23">
        <v>3</v>
      </c>
      <c r="Z2" s="23">
        <v>4</v>
      </c>
      <c r="AA2" s="23">
        <v>2426.3200000000002</v>
      </c>
      <c r="AB2" s="23">
        <v>2542.75</v>
      </c>
      <c r="AC2" s="23">
        <v>116.43</v>
      </c>
      <c r="AD2" s="23">
        <v>591</v>
      </c>
      <c r="AE2" s="23">
        <v>591</v>
      </c>
      <c r="AF2" s="23">
        <v>0</v>
      </c>
      <c r="AG2" t="s">
        <v>426</v>
      </c>
      <c r="AH2" s="23">
        <v>99.99</v>
      </c>
      <c r="AI2" t="s">
        <v>402</v>
      </c>
      <c r="AJ2" s="23" t="s">
        <v>439</v>
      </c>
      <c r="AK2" s="23" t="s">
        <v>546</v>
      </c>
      <c r="AL2" s="23" t="s">
        <v>470</v>
      </c>
      <c r="AM2" s="23" t="s">
        <v>546</v>
      </c>
      <c r="AN2" s="23" t="s">
        <v>546</v>
      </c>
      <c r="AO2" s="23" t="s">
        <v>49</v>
      </c>
    </row>
    <row r="3" spans="1:41" x14ac:dyDescent="0.25">
      <c r="A3" t="s">
        <v>401</v>
      </c>
      <c r="B3" t="s">
        <v>384</v>
      </c>
      <c r="C3" t="s">
        <v>391</v>
      </c>
      <c r="D3" s="23">
        <v>102.43</v>
      </c>
      <c r="E3" s="23">
        <v>1033.95</v>
      </c>
      <c r="F3" s="23">
        <v>20.93</v>
      </c>
      <c r="G3" s="23">
        <v>18.079999999999998</v>
      </c>
      <c r="H3" s="23">
        <v>24.85</v>
      </c>
      <c r="I3" s="23">
        <v>23.19</v>
      </c>
      <c r="J3" s="23">
        <v>1.59</v>
      </c>
      <c r="K3" s="23">
        <v>99</v>
      </c>
      <c r="L3" s="23">
        <v>187.9</v>
      </c>
      <c r="M3" s="23">
        <v>2.8</v>
      </c>
      <c r="N3" s="23">
        <v>4</v>
      </c>
      <c r="O3" s="23">
        <v>481.77</v>
      </c>
      <c r="P3" s="23">
        <v>999.84</v>
      </c>
      <c r="Q3" s="23">
        <v>518.07000000000005</v>
      </c>
      <c r="R3" s="23">
        <v>132.9</v>
      </c>
      <c r="S3" s="23">
        <v>237</v>
      </c>
      <c r="T3" s="23">
        <v>1040.71</v>
      </c>
      <c r="U3" s="23">
        <v>1114.0899999999999</v>
      </c>
      <c r="V3" s="23">
        <v>73.38</v>
      </c>
      <c r="W3" s="23">
        <v>132.30000000000001</v>
      </c>
      <c r="X3" s="23">
        <v>216.8</v>
      </c>
      <c r="Y3" s="23">
        <v>35.4</v>
      </c>
      <c r="Z3" s="23">
        <v>52</v>
      </c>
      <c r="AA3" s="23">
        <v>1943.7</v>
      </c>
      <c r="AB3" s="23">
        <v>1963</v>
      </c>
      <c r="AC3" s="23">
        <v>19.3</v>
      </c>
      <c r="AD3" s="23">
        <v>933</v>
      </c>
      <c r="AE3" s="23">
        <v>933</v>
      </c>
      <c r="AF3" s="23">
        <v>0</v>
      </c>
      <c r="AG3" t="s">
        <v>426</v>
      </c>
      <c r="AH3" s="23">
        <v>99.99</v>
      </c>
      <c r="AI3" t="s">
        <v>402</v>
      </c>
      <c r="AJ3" s="23" t="s">
        <v>442</v>
      </c>
      <c r="AK3" s="23" t="s">
        <v>441</v>
      </c>
      <c r="AL3" s="23" t="s">
        <v>514</v>
      </c>
      <c r="AM3" s="23" t="s">
        <v>441</v>
      </c>
      <c r="AN3" s="23" t="s">
        <v>438</v>
      </c>
      <c r="AO3" s="23" t="s">
        <v>470</v>
      </c>
    </row>
    <row r="4" spans="1:41" x14ac:dyDescent="0.25">
      <c r="A4" t="s">
        <v>401</v>
      </c>
      <c r="B4" t="s">
        <v>387</v>
      </c>
      <c r="C4" t="s">
        <v>391</v>
      </c>
      <c r="D4" s="23">
        <v>0.33</v>
      </c>
      <c r="E4" s="23">
        <v>964.12</v>
      </c>
      <c r="F4" s="23">
        <v>21.81</v>
      </c>
      <c r="G4" s="23">
        <v>16.59</v>
      </c>
      <c r="H4" s="23">
        <v>33.11</v>
      </c>
      <c r="I4" s="23">
        <v>28.57</v>
      </c>
      <c r="J4" s="23">
        <v>4.24</v>
      </c>
      <c r="K4" s="23">
        <v>324.7</v>
      </c>
      <c r="L4" s="23">
        <v>1629.7</v>
      </c>
      <c r="M4" s="23">
        <v>1.9</v>
      </c>
      <c r="N4" s="23">
        <v>7</v>
      </c>
      <c r="O4" s="23">
        <v>485.4</v>
      </c>
      <c r="P4" s="23">
        <v>2141.08</v>
      </c>
      <c r="Q4" s="23">
        <v>1655.68</v>
      </c>
      <c r="R4" s="23">
        <v>1451.9</v>
      </c>
      <c r="S4" s="23">
        <v>1559.3</v>
      </c>
      <c r="T4" s="23">
        <v>2224.4499999999998</v>
      </c>
      <c r="U4" s="23">
        <v>2543.34</v>
      </c>
      <c r="V4" s="23">
        <v>318.89</v>
      </c>
      <c r="W4" s="23">
        <v>915.9</v>
      </c>
      <c r="X4" s="23">
        <v>1162.5999999999999</v>
      </c>
      <c r="Y4" s="23">
        <v>4.5999999999999996</v>
      </c>
      <c r="Z4" s="23">
        <v>20</v>
      </c>
      <c r="AA4" s="23">
        <v>2903.93</v>
      </c>
      <c r="AB4" s="23">
        <v>2844.68</v>
      </c>
      <c r="AC4" s="23">
        <v>-59.25</v>
      </c>
      <c r="AD4" s="23">
        <v>977</v>
      </c>
      <c r="AE4" s="23">
        <v>977</v>
      </c>
      <c r="AF4" s="23">
        <v>0</v>
      </c>
      <c r="AG4" t="s">
        <v>426</v>
      </c>
      <c r="AH4" s="23">
        <v>99.99</v>
      </c>
      <c r="AI4" t="s">
        <v>402</v>
      </c>
      <c r="AJ4" s="23" t="s">
        <v>442</v>
      </c>
      <c r="AK4" s="23" t="s">
        <v>546</v>
      </c>
      <c r="AL4" s="23" t="s">
        <v>547</v>
      </c>
      <c r="AM4" s="23" t="s">
        <v>546</v>
      </c>
      <c r="AN4" s="23" t="s">
        <v>664</v>
      </c>
      <c r="AO4" s="23" t="s">
        <v>665</v>
      </c>
    </row>
    <row r="5" spans="1:41" x14ac:dyDescent="0.25">
      <c r="A5" t="s">
        <v>401</v>
      </c>
      <c r="B5" t="s">
        <v>385</v>
      </c>
      <c r="C5" t="s">
        <v>391</v>
      </c>
      <c r="D5" s="23">
        <v>210.8</v>
      </c>
      <c r="E5" s="23">
        <v>3694.2</v>
      </c>
      <c r="F5" s="23">
        <v>23.54</v>
      </c>
      <c r="G5" s="23">
        <v>18.47</v>
      </c>
      <c r="H5" s="23">
        <v>31.73</v>
      </c>
      <c r="I5" s="23">
        <v>29.53</v>
      </c>
      <c r="J5" s="23">
        <v>3.69</v>
      </c>
      <c r="K5" s="23">
        <v>163.19999999999999</v>
      </c>
      <c r="L5" s="23">
        <v>376.5</v>
      </c>
      <c r="M5" s="23">
        <v>3.4</v>
      </c>
      <c r="N5" s="23">
        <v>4</v>
      </c>
      <c r="O5" s="23">
        <v>473.64</v>
      </c>
      <c r="P5" s="23">
        <v>737.69</v>
      </c>
      <c r="Q5" s="23">
        <v>264.05</v>
      </c>
      <c r="R5" s="23">
        <v>364.2</v>
      </c>
      <c r="S5" s="23">
        <v>1557.6</v>
      </c>
      <c r="T5" s="23">
        <v>903.67</v>
      </c>
      <c r="U5" s="23">
        <v>2494.63</v>
      </c>
      <c r="V5" s="23">
        <v>1590.96</v>
      </c>
      <c r="W5" s="23">
        <v>1102.5999999999999</v>
      </c>
      <c r="X5" s="23">
        <v>1287.5</v>
      </c>
      <c r="Y5" s="23">
        <v>43.3</v>
      </c>
      <c r="Z5" s="23">
        <v>73</v>
      </c>
      <c r="AA5" s="23">
        <v>2594.83</v>
      </c>
      <c r="AB5" s="23">
        <v>2535.77</v>
      </c>
      <c r="AC5" s="23">
        <v>-59.06</v>
      </c>
      <c r="AD5" s="23">
        <v>1001</v>
      </c>
      <c r="AE5" s="23">
        <v>1001</v>
      </c>
      <c r="AF5" s="23">
        <v>0</v>
      </c>
      <c r="AG5" t="s">
        <v>426</v>
      </c>
      <c r="AH5" s="23">
        <v>99.99</v>
      </c>
      <c r="AI5" t="s">
        <v>402</v>
      </c>
      <c r="AJ5" s="23" t="s">
        <v>442</v>
      </c>
      <c r="AK5" s="23" t="s">
        <v>442</v>
      </c>
      <c r="AL5" s="23" t="s">
        <v>49</v>
      </c>
      <c r="AM5" s="23" t="s">
        <v>442</v>
      </c>
      <c r="AN5" s="23" t="s">
        <v>569</v>
      </c>
      <c r="AO5" s="23" t="s">
        <v>570</v>
      </c>
    </row>
    <row r="6" spans="1:41" x14ac:dyDescent="0.25">
      <c r="A6" t="s">
        <v>401</v>
      </c>
      <c r="B6" t="s">
        <v>388</v>
      </c>
      <c r="C6" t="s">
        <v>394</v>
      </c>
      <c r="D6" s="23">
        <v>0.33</v>
      </c>
      <c r="E6" s="23">
        <v>525.30999999999995</v>
      </c>
      <c r="F6" s="23">
        <v>30.18</v>
      </c>
      <c r="G6" s="23">
        <v>27.65</v>
      </c>
      <c r="H6" s="23">
        <v>35.33</v>
      </c>
      <c r="I6" s="23">
        <v>33.5</v>
      </c>
      <c r="J6" s="23">
        <v>2.09</v>
      </c>
      <c r="K6" s="23">
        <v>88</v>
      </c>
      <c r="L6" s="23">
        <v>175.9</v>
      </c>
      <c r="M6" s="23">
        <v>4</v>
      </c>
      <c r="N6" s="23">
        <v>4</v>
      </c>
      <c r="O6" s="23">
        <v>474.77</v>
      </c>
      <c r="P6" s="23">
        <v>474.89</v>
      </c>
      <c r="Q6" s="23">
        <v>0.12</v>
      </c>
      <c r="R6" s="23">
        <v>60.2</v>
      </c>
      <c r="S6" s="23">
        <v>109.8</v>
      </c>
      <c r="T6" s="23">
        <v>475.13</v>
      </c>
      <c r="U6" s="23">
        <v>1179</v>
      </c>
      <c r="V6" s="23">
        <v>703.87</v>
      </c>
      <c r="W6" s="23">
        <v>342.2</v>
      </c>
      <c r="X6" s="23">
        <v>450.5</v>
      </c>
      <c r="Y6" s="23">
        <v>2.1</v>
      </c>
      <c r="Z6" s="23">
        <v>3</v>
      </c>
      <c r="AA6" s="23">
        <v>1028.8800000000001</v>
      </c>
      <c r="AB6" s="23">
        <v>1037.1400000000001</v>
      </c>
      <c r="AC6" s="23">
        <v>8.26</v>
      </c>
      <c r="AD6" s="23">
        <v>792</v>
      </c>
      <c r="AE6" s="23">
        <v>792</v>
      </c>
      <c r="AF6" s="23">
        <v>0</v>
      </c>
      <c r="AG6" t="s">
        <v>426</v>
      </c>
      <c r="AH6" s="23">
        <v>99.99</v>
      </c>
      <c r="AI6" t="s">
        <v>402</v>
      </c>
      <c r="AJ6" s="23" t="s">
        <v>442</v>
      </c>
      <c r="AK6" s="23" t="s">
        <v>442</v>
      </c>
      <c r="AL6" s="23" t="s">
        <v>49</v>
      </c>
      <c r="AM6" s="23" t="s">
        <v>442</v>
      </c>
      <c r="AN6" s="23" t="s">
        <v>731</v>
      </c>
      <c r="AO6" s="23" t="s">
        <v>449</v>
      </c>
    </row>
    <row r="7" spans="1:41" x14ac:dyDescent="0.25">
      <c r="A7" t="s">
        <v>401</v>
      </c>
      <c r="B7" t="s">
        <v>384</v>
      </c>
      <c r="C7" t="s">
        <v>390</v>
      </c>
      <c r="D7" s="23">
        <v>23.22</v>
      </c>
      <c r="E7" s="23">
        <v>1037.6199999999999</v>
      </c>
      <c r="F7" s="23">
        <v>31.37</v>
      </c>
      <c r="G7" s="23">
        <v>23.78</v>
      </c>
      <c r="H7" s="23">
        <v>44.83</v>
      </c>
      <c r="I7" s="23">
        <v>40.049999999999997</v>
      </c>
      <c r="J7" s="23">
        <v>5.65</v>
      </c>
      <c r="K7" s="23">
        <v>131</v>
      </c>
      <c r="L7" s="23">
        <v>192</v>
      </c>
      <c r="M7" s="23">
        <v>3.1</v>
      </c>
      <c r="N7" s="23">
        <v>4</v>
      </c>
      <c r="O7" s="23">
        <v>479.02</v>
      </c>
      <c r="P7" s="23">
        <v>940.77</v>
      </c>
      <c r="Q7" s="23">
        <v>461.75</v>
      </c>
      <c r="R7" s="23">
        <v>130.19999999999999</v>
      </c>
      <c r="S7" s="23">
        <v>207.6</v>
      </c>
      <c r="T7" s="23">
        <v>971.31</v>
      </c>
      <c r="U7" s="23">
        <v>1064.17</v>
      </c>
      <c r="V7" s="23">
        <v>92.86</v>
      </c>
      <c r="W7" s="23">
        <v>102.7</v>
      </c>
      <c r="X7" s="23">
        <v>173.2</v>
      </c>
      <c r="Y7" s="23">
        <v>35.200000000000003</v>
      </c>
      <c r="Z7" s="23">
        <v>57</v>
      </c>
      <c r="AA7" s="23">
        <v>1201.1199999999999</v>
      </c>
      <c r="AB7" s="23">
        <v>1208.3499999999999</v>
      </c>
      <c r="AC7" s="23">
        <v>7.23</v>
      </c>
      <c r="AD7" s="23">
        <v>992</v>
      </c>
      <c r="AE7" s="23">
        <v>992</v>
      </c>
      <c r="AF7" s="23">
        <v>0</v>
      </c>
      <c r="AG7" t="s">
        <v>426</v>
      </c>
      <c r="AH7" s="23">
        <v>99.99</v>
      </c>
      <c r="AI7" t="s">
        <v>402</v>
      </c>
      <c r="AJ7" s="23" t="s">
        <v>463</v>
      </c>
      <c r="AK7" s="23" t="s">
        <v>489</v>
      </c>
      <c r="AL7" s="23" t="s">
        <v>98</v>
      </c>
      <c r="AM7" s="23" t="s">
        <v>489</v>
      </c>
      <c r="AN7" s="23" t="s">
        <v>489</v>
      </c>
      <c r="AO7" s="23" t="s">
        <v>49</v>
      </c>
    </row>
    <row r="8" spans="1:41" x14ac:dyDescent="0.25">
      <c r="A8" t="s">
        <v>401</v>
      </c>
      <c r="B8" t="s">
        <v>388</v>
      </c>
      <c r="C8" t="s">
        <v>393</v>
      </c>
      <c r="D8" s="23">
        <v>0.28000000000000003</v>
      </c>
      <c r="E8" s="23">
        <v>344.37</v>
      </c>
      <c r="F8" s="23">
        <v>34.01</v>
      </c>
      <c r="G8" s="23">
        <v>31.59</v>
      </c>
      <c r="H8" s="23">
        <v>40.17</v>
      </c>
      <c r="I8" s="23">
        <v>35.880000000000003</v>
      </c>
      <c r="J8" s="23">
        <v>2.08</v>
      </c>
      <c r="K8" s="23">
        <v>0</v>
      </c>
      <c r="L8" s="23">
        <v>0</v>
      </c>
      <c r="M8" s="23">
        <v>1</v>
      </c>
      <c r="N8" s="23">
        <v>1</v>
      </c>
      <c r="O8" s="23">
        <v>481.27</v>
      </c>
      <c r="P8" s="23">
        <v>481.38</v>
      </c>
      <c r="Q8" s="23">
        <v>0.11</v>
      </c>
      <c r="R8" s="23">
        <v>55.6</v>
      </c>
      <c r="S8" s="23">
        <v>168.8</v>
      </c>
      <c r="T8" s="23">
        <v>481.67</v>
      </c>
      <c r="U8" s="23">
        <v>736.8</v>
      </c>
      <c r="V8" s="23">
        <v>255.13</v>
      </c>
      <c r="W8" s="23">
        <v>340.7</v>
      </c>
      <c r="X8" s="23">
        <v>409.4</v>
      </c>
      <c r="Y8" s="23">
        <v>1</v>
      </c>
      <c r="Z8" s="23">
        <v>2</v>
      </c>
      <c r="AA8" s="23">
        <v>916.63</v>
      </c>
      <c r="AB8" s="23">
        <v>916.9</v>
      </c>
      <c r="AC8" s="23">
        <v>0.27</v>
      </c>
      <c r="AD8" s="23">
        <v>589</v>
      </c>
      <c r="AE8" s="23">
        <v>589</v>
      </c>
      <c r="AF8" s="23">
        <v>0</v>
      </c>
      <c r="AG8" t="s">
        <v>426</v>
      </c>
      <c r="AH8" s="23">
        <v>99.99</v>
      </c>
      <c r="AI8" t="s">
        <v>402</v>
      </c>
      <c r="AJ8" s="23" t="s">
        <v>439</v>
      </c>
      <c r="AK8" s="23" t="s">
        <v>439</v>
      </c>
      <c r="AL8" s="23" t="s">
        <v>49</v>
      </c>
      <c r="AM8" s="23" t="s">
        <v>439</v>
      </c>
      <c r="AN8" s="23" t="s">
        <v>442</v>
      </c>
      <c r="AO8" s="23" t="s">
        <v>98</v>
      </c>
    </row>
    <row r="9" spans="1:41" x14ac:dyDescent="0.25">
      <c r="A9" t="s">
        <v>401</v>
      </c>
      <c r="B9" t="s">
        <v>387</v>
      </c>
      <c r="C9" t="s">
        <v>392</v>
      </c>
      <c r="D9" s="23">
        <v>0.31</v>
      </c>
      <c r="E9" s="23">
        <v>778.56</v>
      </c>
      <c r="F9" s="23">
        <v>58.27</v>
      </c>
      <c r="G9" s="23">
        <v>43.64</v>
      </c>
      <c r="H9" s="23">
        <v>136.28</v>
      </c>
      <c r="I9" s="23">
        <v>68.52</v>
      </c>
      <c r="J9" s="23">
        <v>17.72</v>
      </c>
      <c r="K9" s="23">
        <v>338.6</v>
      </c>
      <c r="L9" s="23">
        <v>1520.7</v>
      </c>
      <c r="M9" s="23">
        <v>1.3</v>
      </c>
      <c r="N9" s="23">
        <v>5</v>
      </c>
      <c r="O9" s="23">
        <v>479.27</v>
      </c>
      <c r="P9" s="23">
        <v>2134.5700000000002</v>
      </c>
      <c r="Q9" s="23">
        <v>1655.3</v>
      </c>
      <c r="R9" s="23">
        <v>1426.2</v>
      </c>
      <c r="S9" s="23">
        <v>1601.4</v>
      </c>
      <c r="T9" s="23">
        <v>2222.14</v>
      </c>
      <c r="U9" s="23">
        <v>2457.96</v>
      </c>
      <c r="V9" s="23">
        <v>235.82</v>
      </c>
      <c r="W9" s="23">
        <v>1301.3</v>
      </c>
      <c r="X9" s="23">
        <v>1540.8</v>
      </c>
      <c r="Y9" s="23">
        <v>0.5</v>
      </c>
      <c r="Z9" s="23">
        <v>2</v>
      </c>
      <c r="AA9" s="23">
        <v>2523.69</v>
      </c>
      <c r="AB9" s="23">
        <v>2739.7</v>
      </c>
      <c r="AC9" s="23">
        <v>216.01</v>
      </c>
      <c r="AD9" s="23">
        <v>591</v>
      </c>
      <c r="AE9" s="23">
        <v>591</v>
      </c>
      <c r="AF9" s="23">
        <v>0</v>
      </c>
      <c r="AG9" t="s">
        <v>426</v>
      </c>
      <c r="AH9" s="23">
        <v>99.99</v>
      </c>
      <c r="AI9" t="s">
        <v>402</v>
      </c>
      <c r="AJ9" s="23" t="s">
        <v>442</v>
      </c>
      <c r="AK9" s="23" t="s">
        <v>546</v>
      </c>
      <c r="AL9" s="23" t="s">
        <v>547</v>
      </c>
      <c r="AM9" s="23" t="s">
        <v>546</v>
      </c>
      <c r="AN9" s="23" t="s">
        <v>546</v>
      </c>
      <c r="AO9" s="23" t="s">
        <v>49</v>
      </c>
    </row>
    <row r="10" spans="1:41" x14ac:dyDescent="0.25">
      <c r="A10" t="s">
        <v>401</v>
      </c>
      <c r="B10" t="s">
        <v>385</v>
      </c>
      <c r="C10" t="s">
        <v>389</v>
      </c>
      <c r="D10" s="23">
        <v>185.46</v>
      </c>
      <c r="E10" s="23">
        <v>2457.34</v>
      </c>
      <c r="F10" s="23">
        <v>91.16</v>
      </c>
      <c r="G10" s="23">
        <v>78.599999999999994</v>
      </c>
      <c r="H10" s="23">
        <v>112.68</v>
      </c>
      <c r="I10" s="23">
        <v>108.06</v>
      </c>
      <c r="J10" s="23">
        <v>9.07</v>
      </c>
      <c r="K10" s="23">
        <v>164.1</v>
      </c>
      <c r="L10" s="23">
        <v>408.6</v>
      </c>
      <c r="M10" s="23">
        <v>4.7</v>
      </c>
      <c r="N10" s="23">
        <v>6</v>
      </c>
      <c r="O10" s="23">
        <v>481.91</v>
      </c>
      <c r="P10" s="23">
        <v>751.52</v>
      </c>
      <c r="Q10" s="23">
        <v>269.61</v>
      </c>
      <c r="R10" s="23">
        <v>443</v>
      </c>
      <c r="S10" s="23">
        <v>1532.6</v>
      </c>
      <c r="T10" s="23">
        <v>748.35</v>
      </c>
      <c r="U10" s="23">
        <v>1951.45</v>
      </c>
      <c r="V10" s="23">
        <v>1203.0999999999999</v>
      </c>
      <c r="W10" s="23">
        <v>1077.0999999999999</v>
      </c>
      <c r="X10" s="23">
        <v>1480.1</v>
      </c>
      <c r="Y10" s="23">
        <v>0</v>
      </c>
      <c r="Z10" s="23">
        <v>0</v>
      </c>
      <c r="AA10" s="23">
        <v>2123.96</v>
      </c>
      <c r="AB10" s="23">
        <v>2090.52</v>
      </c>
      <c r="AC10" s="23">
        <v>-33.44</v>
      </c>
      <c r="AD10" s="23">
        <v>573</v>
      </c>
      <c r="AE10" s="23">
        <v>573</v>
      </c>
      <c r="AF10" s="23">
        <v>0</v>
      </c>
      <c r="AG10" t="s">
        <v>426</v>
      </c>
      <c r="AH10" s="23">
        <v>99.99</v>
      </c>
      <c r="AI10" t="s">
        <v>402</v>
      </c>
      <c r="AJ10" s="23" t="s">
        <v>442</v>
      </c>
      <c r="AK10" s="23" t="s">
        <v>442</v>
      </c>
      <c r="AL10" s="23" t="s">
        <v>49</v>
      </c>
      <c r="AM10" s="23" t="s">
        <v>442</v>
      </c>
      <c r="AN10" s="23" t="s">
        <v>546</v>
      </c>
      <c r="AO10" s="23" t="s">
        <v>547</v>
      </c>
    </row>
    <row r="11" spans="1:41" x14ac:dyDescent="0.25">
      <c r="A11" t="s">
        <v>401</v>
      </c>
      <c r="B11" t="s">
        <v>385</v>
      </c>
      <c r="C11" t="s">
        <v>392</v>
      </c>
      <c r="D11" s="23">
        <v>206.51</v>
      </c>
      <c r="E11" s="23">
        <v>2935.17</v>
      </c>
      <c r="F11" s="23">
        <v>109.2</v>
      </c>
      <c r="G11" s="23">
        <v>93.95</v>
      </c>
      <c r="H11" s="23">
        <v>135.58000000000001</v>
      </c>
      <c r="I11" s="23">
        <v>126.13</v>
      </c>
      <c r="J11" s="23">
        <v>9.6199999999999992</v>
      </c>
      <c r="K11" s="23">
        <v>203.6</v>
      </c>
      <c r="L11" s="23">
        <v>381.3</v>
      </c>
      <c r="M11" s="23">
        <v>3</v>
      </c>
      <c r="N11" s="23">
        <v>3</v>
      </c>
      <c r="O11" s="23">
        <v>478.54</v>
      </c>
      <c r="P11" s="23">
        <v>891.6</v>
      </c>
      <c r="Q11" s="23">
        <v>413.06</v>
      </c>
      <c r="R11" s="23">
        <v>395.3</v>
      </c>
      <c r="S11" s="23">
        <v>1532.6</v>
      </c>
      <c r="T11" s="23">
        <v>747.64</v>
      </c>
      <c r="U11" s="23">
        <v>1987.18</v>
      </c>
      <c r="V11" s="23">
        <v>1239.54</v>
      </c>
      <c r="W11" s="23">
        <v>1305.5999999999999</v>
      </c>
      <c r="X11" s="23">
        <v>1575.4</v>
      </c>
      <c r="Y11" s="23">
        <v>0</v>
      </c>
      <c r="Z11" s="23">
        <v>0</v>
      </c>
      <c r="AA11" s="23">
        <v>2295.1999999999998</v>
      </c>
      <c r="AB11" s="23">
        <v>2557.5500000000002</v>
      </c>
      <c r="AC11" s="23">
        <v>262.35000000000002</v>
      </c>
      <c r="AD11" s="23">
        <v>571</v>
      </c>
      <c r="AE11" s="23">
        <v>571</v>
      </c>
      <c r="AF11" s="23">
        <v>0</v>
      </c>
      <c r="AG11" t="s">
        <v>426</v>
      </c>
      <c r="AH11" s="23">
        <v>99.99</v>
      </c>
      <c r="AI11" t="s">
        <v>402</v>
      </c>
      <c r="AJ11" s="23" t="s">
        <v>442</v>
      </c>
      <c r="AK11" s="23" t="s">
        <v>489</v>
      </c>
      <c r="AL11" s="23" t="s">
        <v>591</v>
      </c>
      <c r="AM11" s="23" t="s">
        <v>489</v>
      </c>
      <c r="AN11" s="23" t="s">
        <v>469</v>
      </c>
      <c r="AO11" s="23" t="s">
        <v>547</v>
      </c>
    </row>
    <row r="12" spans="1:41" x14ac:dyDescent="0.25">
      <c r="A12" t="s">
        <v>401</v>
      </c>
      <c r="B12" t="s">
        <v>384</v>
      </c>
      <c r="C12" t="s">
        <v>389</v>
      </c>
      <c r="D12" s="23">
        <v>75.16</v>
      </c>
      <c r="E12" s="23">
        <v>1077.3800000000001</v>
      </c>
      <c r="F12" s="23">
        <v>192.22</v>
      </c>
      <c r="G12" s="23">
        <v>183.64</v>
      </c>
      <c r="H12" s="23">
        <v>204.16</v>
      </c>
      <c r="I12" s="23">
        <v>198.44</v>
      </c>
      <c r="J12" s="23">
        <v>4.42</v>
      </c>
      <c r="K12" s="23">
        <v>132.69999999999999</v>
      </c>
      <c r="L12" s="23">
        <v>227</v>
      </c>
      <c r="M12" s="23">
        <v>3.5</v>
      </c>
      <c r="N12" s="23">
        <v>5</v>
      </c>
      <c r="O12" s="23">
        <v>476.27</v>
      </c>
      <c r="P12" s="23">
        <v>1009.37</v>
      </c>
      <c r="Q12" s="23">
        <v>533.1</v>
      </c>
      <c r="R12" s="23">
        <v>131.9</v>
      </c>
      <c r="S12" s="23">
        <v>233.5</v>
      </c>
      <c r="T12" s="23">
        <v>1045.3800000000001</v>
      </c>
      <c r="U12" s="23">
        <v>1303.46</v>
      </c>
      <c r="V12" s="23">
        <v>258.08</v>
      </c>
      <c r="W12" s="23">
        <v>577</v>
      </c>
      <c r="X12" s="23">
        <v>809.2</v>
      </c>
      <c r="Y12" s="23">
        <v>0</v>
      </c>
      <c r="Z12" s="23">
        <v>0</v>
      </c>
      <c r="AA12" s="23">
        <v>1489.06</v>
      </c>
      <c r="AB12" s="23">
        <v>1485.52</v>
      </c>
      <c r="AC12" s="23">
        <v>-3.54</v>
      </c>
      <c r="AD12" s="23">
        <v>571</v>
      </c>
      <c r="AE12" s="23">
        <v>571</v>
      </c>
      <c r="AF12" s="23">
        <v>0</v>
      </c>
      <c r="AG12" t="s">
        <v>426</v>
      </c>
      <c r="AH12" s="23">
        <v>99.99</v>
      </c>
      <c r="AI12" t="s">
        <v>402</v>
      </c>
      <c r="AJ12" s="23" t="s">
        <v>463</v>
      </c>
      <c r="AK12" s="23" t="s">
        <v>463</v>
      </c>
      <c r="AL12" s="23" t="s">
        <v>49</v>
      </c>
      <c r="AM12" s="23" t="s">
        <v>463</v>
      </c>
      <c r="AN12" s="23" t="s">
        <v>469</v>
      </c>
      <c r="AO12" s="23" t="s">
        <v>470</v>
      </c>
    </row>
    <row r="13" spans="1:41" x14ac:dyDescent="0.25">
      <c r="A13" t="s">
        <v>401</v>
      </c>
      <c r="B13" t="s">
        <v>386</v>
      </c>
      <c r="C13" t="s">
        <v>389</v>
      </c>
      <c r="D13" s="23">
        <v>179.2</v>
      </c>
      <c r="E13" s="23">
        <v>711.15</v>
      </c>
      <c r="F13" s="23">
        <v>239.92</v>
      </c>
      <c r="G13" s="23">
        <v>234.79</v>
      </c>
      <c r="H13" s="23">
        <v>245.41</v>
      </c>
      <c r="I13" s="23">
        <v>242.79</v>
      </c>
      <c r="J13" s="23">
        <v>2.19</v>
      </c>
      <c r="K13" s="23">
        <v>41.8</v>
      </c>
      <c r="L13" s="23">
        <v>125.3</v>
      </c>
      <c r="M13" s="23">
        <v>6</v>
      </c>
      <c r="N13" s="23">
        <v>6</v>
      </c>
      <c r="O13" s="23">
        <v>483.42</v>
      </c>
      <c r="P13" s="23">
        <v>519.04</v>
      </c>
      <c r="Q13" s="23">
        <v>35.619999999999997</v>
      </c>
      <c r="R13" s="23">
        <v>188.8</v>
      </c>
      <c r="S13" s="23">
        <v>279.89999999999998</v>
      </c>
      <c r="T13" s="23">
        <v>568.87</v>
      </c>
      <c r="U13" s="23">
        <v>1199.0899999999999</v>
      </c>
      <c r="V13" s="23">
        <v>630.22</v>
      </c>
      <c r="W13" s="23">
        <v>200.6</v>
      </c>
      <c r="X13" s="23">
        <v>277.3</v>
      </c>
      <c r="Y13" s="23">
        <v>0</v>
      </c>
      <c r="Z13" s="23">
        <v>0</v>
      </c>
      <c r="AA13" s="23">
        <v>1454.05</v>
      </c>
      <c r="AB13" s="23">
        <v>1734.49</v>
      </c>
      <c r="AC13" s="23">
        <v>280.44</v>
      </c>
      <c r="AD13" s="23">
        <v>591</v>
      </c>
      <c r="AE13" s="23">
        <v>591</v>
      </c>
      <c r="AF13" s="23">
        <v>0</v>
      </c>
      <c r="AG13" t="s">
        <v>426</v>
      </c>
      <c r="AH13" s="23">
        <v>99.99</v>
      </c>
      <c r="AI13" t="s">
        <v>402</v>
      </c>
      <c r="AJ13" s="23" t="s">
        <v>439</v>
      </c>
      <c r="AK13" s="23" t="s">
        <v>442</v>
      </c>
      <c r="AL13" s="23" t="s">
        <v>98</v>
      </c>
      <c r="AM13" s="23" t="s">
        <v>618</v>
      </c>
      <c r="AN13" s="23" t="s">
        <v>618</v>
      </c>
      <c r="AO13" s="23" t="s">
        <v>49</v>
      </c>
    </row>
    <row r="26" spans="1:8" x14ac:dyDescent="0.25">
      <c r="A26" t="s">
        <v>393</v>
      </c>
    </row>
    <row r="27" spans="1:8" x14ac:dyDescent="0.25">
      <c r="A27" s="2" t="s">
        <v>1</v>
      </c>
      <c r="B27" s="2" t="s">
        <v>2</v>
      </c>
      <c r="C27" s="2" t="s">
        <v>8</v>
      </c>
      <c r="D27" s="2" t="s">
        <v>9</v>
      </c>
      <c r="E27" s="2" t="s">
        <v>418</v>
      </c>
      <c r="F27" s="2" t="s">
        <v>419</v>
      </c>
      <c r="G27" s="2" t="s">
        <v>12</v>
      </c>
      <c r="H27" s="2" t="s">
        <v>13</v>
      </c>
    </row>
    <row r="28" spans="1:8" x14ac:dyDescent="0.25">
      <c r="A28" s="33" t="s">
        <v>387</v>
      </c>
      <c r="B28" s="33" t="s">
        <v>389</v>
      </c>
      <c r="C28" s="36">
        <v>323.89999999999998</v>
      </c>
      <c r="D28" s="36">
        <v>1642.4</v>
      </c>
      <c r="E28" s="36">
        <v>1461</v>
      </c>
      <c r="F28" s="36">
        <v>1519.2</v>
      </c>
      <c r="G28" s="36">
        <v>1383.8</v>
      </c>
      <c r="H28" s="36">
        <v>1564</v>
      </c>
    </row>
    <row r="29" spans="1:8" x14ac:dyDescent="0.25">
      <c r="A29" s="34" t="s">
        <v>384</v>
      </c>
      <c r="B29" s="34" t="s">
        <v>391</v>
      </c>
      <c r="C29" s="37">
        <v>99</v>
      </c>
      <c r="D29" s="37">
        <v>187.9</v>
      </c>
      <c r="E29" s="37">
        <v>132.9</v>
      </c>
      <c r="F29" s="37">
        <v>237</v>
      </c>
      <c r="G29" s="37">
        <v>132.30000000000001</v>
      </c>
      <c r="H29" s="37">
        <v>216.8</v>
      </c>
    </row>
    <row r="30" spans="1:8" x14ac:dyDescent="0.25">
      <c r="A30" s="33" t="s">
        <v>387</v>
      </c>
      <c r="B30" s="33" t="s">
        <v>391</v>
      </c>
      <c r="C30" s="36">
        <v>324.7</v>
      </c>
      <c r="D30" s="36">
        <v>1629.7</v>
      </c>
      <c r="E30" s="36">
        <v>1451.9</v>
      </c>
      <c r="F30" s="36">
        <v>1559.3</v>
      </c>
      <c r="G30" s="36">
        <v>915.9</v>
      </c>
      <c r="H30" s="36">
        <v>1162.5999999999999</v>
      </c>
    </row>
    <row r="31" spans="1:8" x14ac:dyDescent="0.25">
      <c r="A31" s="34" t="s">
        <v>385</v>
      </c>
      <c r="B31" s="34" t="s">
        <v>391</v>
      </c>
      <c r="C31" s="37">
        <v>163.19999999999999</v>
      </c>
      <c r="D31" s="37">
        <v>376.5</v>
      </c>
      <c r="E31" s="37">
        <v>364.2</v>
      </c>
      <c r="F31" s="37">
        <v>1557.6</v>
      </c>
      <c r="G31" s="37">
        <v>1102.5999999999999</v>
      </c>
      <c r="H31" s="37">
        <v>1287.5</v>
      </c>
    </row>
    <row r="32" spans="1:8" x14ac:dyDescent="0.25">
      <c r="A32" s="33" t="s">
        <v>388</v>
      </c>
      <c r="B32" s="33" t="s">
        <v>394</v>
      </c>
      <c r="C32" s="36">
        <v>88</v>
      </c>
      <c r="D32" s="36">
        <v>175.9</v>
      </c>
      <c r="E32" s="36">
        <v>60.2</v>
      </c>
      <c r="F32" s="36">
        <v>109.8</v>
      </c>
      <c r="G32" s="36">
        <v>342.2</v>
      </c>
      <c r="H32" s="36">
        <v>450.5</v>
      </c>
    </row>
    <row r="33" spans="1:9" x14ac:dyDescent="0.25">
      <c r="A33" s="34" t="s">
        <v>384</v>
      </c>
      <c r="B33" s="34" t="s">
        <v>390</v>
      </c>
      <c r="C33" s="37">
        <v>131</v>
      </c>
      <c r="D33" s="37">
        <v>192</v>
      </c>
      <c r="E33" s="37">
        <v>130.19999999999999</v>
      </c>
      <c r="F33" s="37">
        <v>207.6</v>
      </c>
      <c r="G33" s="37">
        <v>102.7</v>
      </c>
      <c r="H33" s="37">
        <v>173.2</v>
      </c>
    </row>
    <row r="34" spans="1:9" x14ac:dyDescent="0.25">
      <c r="A34" s="33" t="s">
        <v>388</v>
      </c>
      <c r="B34" s="33" t="s">
        <v>393</v>
      </c>
      <c r="C34" s="36">
        <v>310</v>
      </c>
      <c r="D34" s="36">
        <v>358.8</v>
      </c>
      <c r="E34" s="36">
        <v>55.6</v>
      </c>
      <c r="F34" s="36">
        <v>168.8</v>
      </c>
      <c r="G34" s="36">
        <v>340.7</v>
      </c>
      <c r="H34" s="36">
        <v>409.4</v>
      </c>
    </row>
    <row r="35" spans="1:9" x14ac:dyDescent="0.25">
      <c r="A35" s="34" t="s">
        <v>387</v>
      </c>
      <c r="B35" s="34" t="s">
        <v>392</v>
      </c>
      <c r="C35" s="37">
        <v>338.6</v>
      </c>
      <c r="D35" s="37">
        <v>1520.7</v>
      </c>
      <c r="E35" s="37">
        <v>1426.2</v>
      </c>
      <c r="F35" s="37">
        <v>1601.4</v>
      </c>
      <c r="G35" s="37">
        <v>1301.3</v>
      </c>
      <c r="H35" s="37">
        <v>1540.8</v>
      </c>
    </row>
    <row r="36" spans="1:9" x14ac:dyDescent="0.25">
      <c r="A36" s="33" t="s">
        <v>385</v>
      </c>
      <c r="B36" s="33" t="s">
        <v>389</v>
      </c>
      <c r="C36" s="36">
        <v>164.1</v>
      </c>
      <c r="D36" s="36">
        <v>408.6</v>
      </c>
      <c r="E36" s="36">
        <v>443</v>
      </c>
      <c r="F36" s="36">
        <v>1532.6</v>
      </c>
      <c r="G36" s="36">
        <v>1077.0999999999999</v>
      </c>
      <c r="H36" s="36">
        <v>1480.1</v>
      </c>
    </row>
    <row r="37" spans="1:9" x14ac:dyDescent="0.25">
      <c r="A37" s="34" t="s">
        <v>385</v>
      </c>
      <c r="B37" s="34" t="s">
        <v>392</v>
      </c>
      <c r="C37" s="37">
        <v>203.6</v>
      </c>
      <c r="D37" s="37">
        <v>381.3</v>
      </c>
      <c r="E37" s="37">
        <v>395.3</v>
      </c>
      <c r="F37" s="37">
        <v>1532.6</v>
      </c>
      <c r="G37" s="37">
        <v>1305.5999999999999</v>
      </c>
      <c r="H37" s="37">
        <v>1575.4</v>
      </c>
    </row>
    <row r="38" spans="1:9" x14ac:dyDescent="0.25">
      <c r="A38" s="33" t="s">
        <v>384</v>
      </c>
      <c r="B38" s="33" t="s">
        <v>389</v>
      </c>
      <c r="C38" s="36">
        <v>132.69999999999999</v>
      </c>
      <c r="D38" s="36">
        <v>227</v>
      </c>
      <c r="E38" s="36">
        <v>131.9</v>
      </c>
      <c r="F38" s="36">
        <v>233.5</v>
      </c>
      <c r="G38" s="36">
        <v>577</v>
      </c>
      <c r="H38" s="36">
        <v>809.2</v>
      </c>
    </row>
    <row r="39" spans="1:9" x14ac:dyDescent="0.25">
      <c r="A39" s="34" t="s">
        <v>386</v>
      </c>
      <c r="B39" s="34" t="s">
        <v>389</v>
      </c>
      <c r="C39" s="37">
        <v>41.8</v>
      </c>
      <c r="D39" s="37">
        <v>125.3</v>
      </c>
      <c r="E39" s="37">
        <v>188.8</v>
      </c>
      <c r="F39" s="37">
        <v>279.89999999999998</v>
      </c>
      <c r="G39" s="37">
        <v>200.6</v>
      </c>
      <c r="H39" s="37">
        <v>277.3</v>
      </c>
    </row>
    <row r="45" spans="1:9" x14ac:dyDescent="0.25">
      <c r="A45" t="s">
        <v>739</v>
      </c>
    </row>
    <row r="46" spans="1:9" x14ac:dyDescent="0.25">
      <c r="A46" s="21" t="s">
        <v>1</v>
      </c>
      <c r="B46" s="21" t="s">
        <v>2</v>
      </c>
      <c r="C46" s="21" t="s">
        <v>740</v>
      </c>
      <c r="D46" s="21" t="s">
        <v>741</v>
      </c>
      <c r="E46" s="21" t="s">
        <v>742</v>
      </c>
      <c r="F46" s="21" t="s">
        <v>743</v>
      </c>
      <c r="G46" s="21" t="s">
        <v>744</v>
      </c>
      <c r="H46" s="21" t="s">
        <v>745</v>
      </c>
      <c r="I46" s="21" t="s">
        <v>746</v>
      </c>
    </row>
    <row r="47" spans="1:9" x14ac:dyDescent="0.25">
      <c r="A47" s="33" t="s">
        <v>388</v>
      </c>
      <c r="B47" s="33" t="s">
        <v>393</v>
      </c>
      <c r="C47" s="36">
        <v>481.27</v>
      </c>
      <c r="D47" s="36">
        <v>481.38</v>
      </c>
      <c r="E47" s="36">
        <v>481.67</v>
      </c>
      <c r="F47" s="36">
        <v>736.8</v>
      </c>
      <c r="G47" s="36">
        <v>916.63</v>
      </c>
      <c r="H47" s="36">
        <v>916.9</v>
      </c>
      <c r="I47" s="23">
        <f>H47-C47</f>
        <v>435.63</v>
      </c>
    </row>
    <row r="48" spans="1:9" x14ac:dyDescent="0.25">
      <c r="A48" s="33" t="s">
        <v>388</v>
      </c>
      <c r="B48" s="33" t="s">
        <v>394</v>
      </c>
      <c r="C48" s="36">
        <v>474.77</v>
      </c>
      <c r="D48" s="36">
        <v>474.89</v>
      </c>
      <c r="E48" s="36">
        <v>475.13</v>
      </c>
      <c r="F48" s="36">
        <v>1179</v>
      </c>
      <c r="G48" s="36">
        <v>1028.8800000000001</v>
      </c>
      <c r="H48" s="36">
        <v>1037.1400000000001</v>
      </c>
      <c r="I48" s="23">
        <f>H48-C48</f>
        <v>562.37000000000012</v>
      </c>
    </row>
    <row r="49" spans="1:9" x14ac:dyDescent="0.25">
      <c r="A49" s="34" t="s">
        <v>384</v>
      </c>
      <c r="B49" s="34" t="s">
        <v>390</v>
      </c>
      <c r="C49" s="37">
        <v>479.02</v>
      </c>
      <c r="D49" s="37">
        <v>940.77</v>
      </c>
      <c r="E49" s="37">
        <v>971.31</v>
      </c>
      <c r="F49" s="37">
        <v>1064.17</v>
      </c>
      <c r="G49" s="37">
        <v>1201.1199999999999</v>
      </c>
      <c r="H49" s="37">
        <v>1208.3499999999999</v>
      </c>
      <c r="I49" s="23">
        <f>H49-C49</f>
        <v>729.32999999999993</v>
      </c>
    </row>
    <row r="50" spans="1:9" x14ac:dyDescent="0.25">
      <c r="A50" s="33" t="s">
        <v>384</v>
      </c>
      <c r="B50" s="33" t="s">
        <v>389</v>
      </c>
      <c r="C50" s="36">
        <v>476.27</v>
      </c>
      <c r="D50" s="36">
        <v>1009.37</v>
      </c>
      <c r="E50" s="36">
        <v>1045.3800000000001</v>
      </c>
      <c r="F50" s="36">
        <v>1303.46</v>
      </c>
      <c r="G50" s="36">
        <v>1489.06</v>
      </c>
      <c r="H50" s="36">
        <v>1485.52</v>
      </c>
      <c r="I50" s="23">
        <f>H50-C50</f>
        <v>1009.25</v>
      </c>
    </row>
    <row r="51" spans="1:9" x14ac:dyDescent="0.25">
      <c r="A51" s="34" t="s">
        <v>386</v>
      </c>
      <c r="B51" s="34" t="s">
        <v>389</v>
      </c>
      <c r="C51" s="37">
        <v>483.42</v>
      </c>
      <c r="D51" s="37">
        <v>519.04</v>
      </c>
      <c r="E51" s="37">
        <v>568.87</v>
      </c>
      <c r="F51" s="37">
        <v>1199.0899999999999</v>
      </c>
      <c r="G51" s="37">
        <v>1454.05</v>
      </c>
      <c r="H51" s="37">
        <v>1734.49</v>
      </c>
      <c r="I51" s="23">
        <f>H51-C51</f>
        <v>1251.07</v>
      </c>
    </row>
    <row r="52" spans="1:9" x14ac:dyDescent="0.25">
      <c r="A52" s="34" t="s">
        <v>384</v>
      </c>
      <c r="B52" s="34" t="s">
        <v>391</v>
      </c>
      <c r="C52" s="37">
        <v>481.77</v>
      </c>
      <c r="D52" s="37">
        <v>999.84</v>
      </c>
      <c r="E52" s="37">
        <v>1040.71</v>
      </c>
      <c r="F52" s="37">
        <v>1114.0899999999999</v>
      </c>
      <c r="G52" s="37">
        <v>1943.7</v>
      </c>
      <c r="H52" s="37">
        <v>1963</v>
      </c>
      <c r="I52" s="23">
        <f>H52-C52</f>
        <v>1481.23</v>
      </c>
    </row>
    <row r="53" spans="1:9" x14ac:dyDescent="0.25">
      <c r="A53" s="33" t="s">
        <v>385</v>
      </c>
      <c r="B53" s="33" t="s">
        <v>389</v>
      </c>
      <c r="C53" s="36">
        <v>481.91</v>
      </c>
      <c r="D53" s="36">
        <v>751.52</v>
      </c>
      <c r="E53" s="36">
        <v>748.35</v>
      </c>
      <c r="F53" s="36">
        <v>1951.45</v>
      </c>
      <c r="G53" s="36">
        <v>2123.96</v>
      </c>
      <c r="H53" s="36">
        <v>2090.52</v>
      </c>
      <c r="I53" s="23">
        <f>H53-C53</f>
        <v>1608.61</v>
      </c>
    </row>
    <row r="54" spans="1:9" x14ac:dyDescent="0.25">
      <c r="A54" s="34" t="s">
        <v>385</v>
      </c>
      <c r="B54" s="34" t="s">
        <v>391</v>
      </c>
      <c r="C54" s="37">
        <v>473.64</v>
      </c>
      <c r="D54" s="37">
        <v>737.69</v>
      </c>
      <c r="E54" s="37">
        <v>903.67</v>
      </c>
      <c r="F54" s="37">
        <v>2494.63</v>
      </c>
      <c r="G54" s="37">
        <v>2594.83</v>
      </c>
      <c r="H54" s="37">
        <v>2535.77</v>
      </c>
      <c r="I54" s="23">
        <f>H54-C54</f>
        <v>2062.13</v>
      </c>
    </row>
    <row r="55" spans="1:9" x14ac:dyDescent="0.25">
      <c r="A55" s="33" t="s">
        <v>387</v>
      </c>
      <c r="B55" s="33" t="s">
        <v>389</v>
      </c>
      <c r="C55" s="36">
        <v>480.23</v>
      </c>
      <c r="D55" s="36">
        <v>2114.83</v>
      </c>
      <c r="E55" s="36">
        <v>2248.9</v>
      </c>
      <c r="F55" s="36">
        <v>2640.72</v>
      </c>
      <c r="G55" s="36">
        <v>2426.3200000000002</v>
      </c>
      <c r="H55" s="36">
        <v>2542.75</v>
      </c>
      <c r="I55" s="23">
        <f>H55-C55</f>
        <v>2062.52</v>
      </c>
    </row>
    <row r="56" spans="1:9" x14ac:dyDescent="0.25">
      <c r="A56" s="34" t="s">
        <v>385</v>
      </c>
      <c r="B56" s="34" t="s">
        <v>392</v>
      </c>
      <c r="C56" s="37">
        <v>478.54</v>
      </c>
      <c r="D56" s="37">
        <v>891.6</v>
      </c>
      <c r="E56" s="37">
        <v>747.64</v>
      </c>
      <c r="F56" s="37">
        <v>1987.18</v>
      </c>
      <c r="G56" s="37">
        <v>2295.1999999999998</v>
      </c>
      <c r="H56" s="37">
        <v>2557.5500000000002</v>
      </c>
      <c r="I56" s="23">
        <f>H56-C56</f>
        <v>2079.0100000000002</v>
      </c>
    </row>
    <row r="57" spans="1:9" x14ac:dyDescent="0.25">
      <c r="A57" s="34" t="s">
        <v>387</v>
      </c>
      <c r="B57" s="34" t="s">
        <v>392</v>
      </c>
      <c r="C57" s="37">
        <v>479.27</v>
      </c>
      <c r="D57" s="37">
        <v>2134.5700000000002</v>
      </c>
      <c r="E57" s="37">
        <v>2222.14</v>
      </c>
      <c r="F57" s="37">
        <v>2457.96</v>
      </c>
      <c r="G57" s="37">
        <v>2523.69</v>
      </c>
      <c r="H57" s="37">
        <v>2739.7</v>
      </c>
      <c r="I57" s="23">
        <f>H57-C57</f>
        <v>2260.4299999999998</v>
      </c>
    </row>
    <row r="58" spans="1:9" x14ac:dyDescent="0.25">
      <c r="A58" s="33" t="s">
        <v>387</v>
      </c>
      <c r="B58" s="33" t="s">
        <v>391</v>
      </c>
      <c r="C58" s="36">
        <v>485.4</v>
      </c>
      <c r="D58" s="36">
        <v>2141.08</v>
      </c>
      <c r="E58" s="36">
        <v>2224.4499999999998</v>
      </c>
      <c r="F58" s="36">
        <v>2543.34</v>
      </c>
      <c r="G58" s="36">
        <v>2903.93</v>
      </c>
      <c r="H58" s="36">
        <v>2844.68</v>
      </c>
      <c r="I58" s="23">
        <f>H58-C58</f>
        <v>2359.2799999999997</v>
      </c>
    </row>
    <row r="59" spans="1:9" x14ac:dyDescent="0.25">
      <c r="A59" s="39"/>
      <c r="B59" s="40"/>
    </row>
    <row r="60" spans="1:9" x14ac:dyDescent="0.25">
      <c r="A60" s="41"/>
      <c r="B60" s="42"/>
    </row>
    <row r="66" spans="1:9" x14ac:dyDescent="0.25">
      <c r="A66" t="s">
        <v>747</v>
      </c>
    </row>
    <row r="67" spans="1:9" x14ac:dyDescent="0.25">
      <c r="A67" s="21" t="s">
        <v>1</v>
      </c>
      <c r="B67" s="21" t="s">
        <v>2</v>
      </c>
      <c r="C67" s="21" t="s">
        <v>748</v>
      </c>
      <c r="D67" s="21" t="s">
        <v>749</v>
      </c>
      <c r="E67" s="21" t="s">
        <v>750</v>
      </c>
      <c r="F67" s="21" t="s">
        <v>751</v>
      </c>
      <c r="G67" s="21" t="s">
        <v>752</v>
      </c>
      <c r="H67" s="21" t="s">
        <v>753</v>
      </c>
      <c r="I67" s="44" t="s">
        <v>754</v>
      </c>
    </row>
    <row r="68" spans="1:9" x14ac:dyDescent="0.25">
      <c r="A68" s="34" t="s">
        <v>385</v>
      </c>
      <c r="B68" s="34" t="s">
        <v>392</v>
      </c>
      <c r="C68" s="37">
        <v>589</v>
      </c>
      <c r="D68" s="37">
        <v>587</v>
      </c>
      <c r="E68" s="37">
        <v>587</v>
      </c>
      <c r="F68" s="37">
        <v>571</v>
      </c>
      <c r="G68" s="37">
        <v>571</v>
      </c>
      <c r="H68" s="37">
        <v>571</v>
      </c>
      <c r="I68" s="23">
        <f>H68-C68</f>
        <v>-18</v>
      </c>
    </row>
    <row r="69" spans="1:9" x14ac:dyDescent="0.25">
      <c r="A69" s="33" t="s">
        <v>384</v>
      </c>
      <c r="B69" s="33" t="s">
        <v>389</v>
      </c>
      <c r="C69" s="36">
        <v>588</v>
      </c>
      <c r="D69" s="36">
        <v>588</v>
      </c>
      <c r="E69" s="36">
        <v>588</v>
      </c>
      <c r="F69" s="36">
        <v>571</v>
      </c>
      <c r="G69" s="36">
        <v>571</v>
      </c>
      <c r="H69" s="36">
        <v>571</v>
      </c>
      <c r="I69" s="23">
        <f>H69-C69</f>
        <v>-17</v>
      </c>
    </row>
    <row r="70" spans="1:9" x14ac:dyDescent="0.25">
      <c r="A70" s="33" t="s">
        <v>385</v>
      </c>
      <c r="B70" s="33" t="s">
        <v>389</v>
      </c>
      <c r="C70" s="36">
        <v>589</v>
      </c>
      <c r="D70" s="36">
        <v>589</v>
      </c>
      <c r="E70" s="36">
        <v>589</v>
      </c>
      <c r="F70" s="36">
        <v>573</v>
      </c>
      <c r="G70" s="36">
        <v>573</v>
      </c>
      <c r="H70" s="36">
        <v>573</v>
      </c>
      <c r="I70" s="23">
        <f>H70-C70</f>
        <v>-16</v>
      </c>
    </row>
    <row r="71" spans="1:9" x14ac:dyDescent="0.25">
      <c r="A71" s="33" t="s">
        <v>388</v>
      </c>
      <c r="B71" s="33" t="s">
        <v>393</v>
      </c>
      <c r="C71" s="36">
        <v>590</v>
      </c>
      <c r="D71" s="36">
        <v>590</v>
      </c>
      <c r="E71" s="36">
        <v>590</v>
      </c>
      <c r="F71" s="36">
        <v>589</v>
      </c>
      <c r="G71" s="36">
        <v>589</v>
      </c>
      <c r="H71" s="36">
        <v>589</v>
      </c>
      <c r="I71" s="23">
        <f>H71-C71</f>
        <v>-1</v>
      </c>
    </row>
    <row r="72" spans="1:9" x14ac:dyDescent="0.25">
      <c r="A72" s="33" t="s">
        <v>387</v>
      </c>
      <c r="B72" s="33" t="s">
        <v>389</v>
      </c>
      <c r="C72" s="36">
        <v>590</v>
      </c>
      <c r="D72" s="36">
        <v>573</v>
      </c>
      <c r="E72" s="36">
        <v>573</v>
      </c>
      <c r="F72" s="36">
        <v>573</v>
      </c>
      <c r="G72" s="36">
        <v>591</v>
      </c>
      <c r="H72" s="36">
        <v>591</v>
      </c>
      <c r="I72" s="23">
        <f>H72-C72</f>
        <v>1</v>
      </c>
    </row>
    <row r="73" spans="1:9" x14ac:dyDescent="0.25">
      <c r="A73" s="34" t="s">
        <v>386</v>
      </c>
      <c r="B73" s="34" t="s">
        <v>389</v>
      </c>
      <c r="C73" s="37">
        <v>590</v>
      </c>
      <c r="D73" s="37">
        <v>589</v>
      </c>
      <c r="E73" s="37">
        <v>607</v>
      </c>
      <c r="F73" s="37">
        <v>607</v>
      </c>
      <c r="G73" s="37">
        <v>591</v>
      </c>
      <c r="H73" s="37">
        <v>591</v>
      </c>
      <c r="I73" s="23">
        <f>H73-C73</f>
        <v>1</v>
      </c>
    </row>
    <row r="74" spans="1:9" x14ac:dyDescent="0.25">
      <c r="A74" s="34" t="s">
        <v>387</v>
      </c>
      <c r="B74" s="34" t="s">
        <v>392</v>
      </c>
      <c r="C74" s="37">
        <v>589</v>
      </c>
      <c r="D74" s="37">
        <v>573</v>
      </c>
      <c r="E74" s="37">
        <v>573</v>
      </c>
      <c r="F74" s="37">
        <v>573</v>
      </c>
      <c r="G74" s="37">
        <v>591</v>
      </c>
      <c r="H74" s="37">
        <v>591</v>
      </c>
      <c r="I74" s="23">
        <f>H74-C74</f>
        <v>2</v>
      </c>
    </row>
    <row r="75" spans="1:9" x14ac:dyDescent="0.25">
      <c r="A75" s="33" t="s">
        <v>388</v>
      </c>
      <c r="B75" s="33" t="s">
        <v>394</v>
      </c>
      <c r="C75" s="36">
        <v>589</v>
      </c>
      <c r="D75" s="36">
        <v>589</v>
      </c>
      <c r="E75" s="36">
        <v>589</v>
      </c>
      <c r="F75" s="36">
        <v>748</v>
      </c>
      <c r="G75" s="36">
        <v>792</v>
      </c>
      <c r="H75" s="36">
        <v>792</v>
      </c>
      <c r="I75" s="23">
        <f>H75-C75</f>
        <v>203</v>
      </c>
    </row>
    <row r="76" spans="1:9" x14ac:dyDescent="0.25">
      <c r="A76" s="34" t="s">
        <v>384</v>
      </c>
      <c r="B76" s="34" t="s">
        <v>391</v>
      </c>
      <c r="C76" s="37">
        <v>589</v>
      </c>
      <c r="D76" s="37">
        <v>608</v>
      </c>
      <c r="E76" s="37">
        <v>608</v>
      </c>
      <c r="F76" s="37">
        <v>591</v>
      </c>
      <c r="G76" s="37">
        <v>933</v>
      </c>
      <c r="H76" s="37">
        <v>933</v>
      </c>
      <c r="I76" s="23">
        <f>H76-C76</f>
        <v>344</v>
      </c>
    </row>
    <row r="77" spans="1:9" x14ac:dyDescent="0.25">
      <c r="A77" s="33" t="s">
        <v>387</v>
      </c>
      <c r="B77" s="33" t="s">
        <v>391</v>
      </c>
      <c r="C77" s="36">
        <v>589</v>
      </c>
      <c r="D77" s="36">
        <v>573</v>
      </c>
      <c r="E77" s="36">
        <v>573</v>
      </c>
      <c r="F77" s="36">
        <v>799</v>
      </c>
      <c r="G77" s="36">
        <v>977</v>
      </c>
      <c r="H77" s="36">
        <v>977</v>
      </c>
      <c r="I77" s="23">
        <f>H77-C77</f>
        <v>388</v>
      </c>
    </row>
    <row r="78" spans="1:9" x14ac:dyDescent="0.25">
      <c r="A78" s="34" t="s">
        <v>384</v>
      </c>
      <c r="B78" s="34" t="s">
        <v>390</v>
      </c>
      <c r="C78" s="37">
        <v>588</v>
      </c>
      <c r="D78" s="37">
        <v>587</v>
      </c>
      <c r="E78" s="37">
        <v>587</v>
      </c>
      <c r="F78" s="37">
        <v>587</v>
      </c>
      <c r="G78" s="37">
        <v>992</v>
      </c>
      <c r="H78" s="37">
        <v>992</v>
      </c>
      <c r="I78" s="23">
        <f>H78-C78</f>
        <v>404</v>
      </c>
    </row>
    <row r="79" spans="1:9" x14ac:dyDescent="0.25">
      <c r="A79" s="34" t="s">
        <v>385</v>
      </c>
      <c r="B79" s="34" t="s">
        <v>391</v>
      </c>
      <c r="C79" s="37">
        <v>589</v>
      </c>
      <c r="D79" s="37">
        <v>589</v>
      </c>
      <c r="E79" s="37">
        <v>589</v>
      </c>
      <c r="F79" s="37">
        <v>911</v>
      </c>
      <c r="G79" s="37">
        <v>1001</v>
      </c>
      <c r="H79" s="37">
        <v>1001</v>
      </c>
      <c r="I79" s="23">
        <f>H79-C79</f>
        <v>412</v>
      </c>
    </row>
  </sheetData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20E74-DA53-4B40-850C-5E758000F287}">
  <dimension ref="A1:AO13"/>
  <sheetViews>
    <sheetView workbookViewId="0">
      <selection activeCell="K2" sqref="K2:L2"/>
    </sheetView>
  </sheetViews>
  <sheetFormatPr defaultRowHeight="15" x14ac:dyDescent="0.25"/>
  <cols>
    <col min="1" max="1" width="16.85546875" bestFit="1" customWidth="1"/>
    <col min="2" max="2" width="14.85546875" bestFit="1" customWidth="1"/>
    <col min="3" max="3" width="18.85546875" bestFit="1" customWidth="1"/>
    <col min="4" max="4" width="20.5703125" bestFit="1" customWidth="1"/>
    <col min="5" max="5" width="17.42578125" bestFit="1" customWidth="1"/>
    <col min="6" max="6" width="19.28515625" bestFit="1" customWidth="1"/>
    <col min="7" max="7" width="19.7109375" bestFit="1" customWidth="1"/>
    <col min="8" max="8" width="20" bestFit="1" customWidth="1"/>
    <col min="9" max="9" width="19.140625" bestFit="1" customWidth="1"/>
    <col min="10" max="10" width="21.140625" bestFit="1" customWidth="1"/>
    <col min="11" max="11" width="17.42578125" bestFit="1" customWidth="1"/>
    <col min="12" max="12" width="18.42578125" bestFit="1" customWidth="1"/>
    <col min="13" max="13" width="17.7109375" bestFit="1" customWidth="1"/>
    <col min="14" max="14" width="18.7109375" bestFit="1" customWidth="1"/>
    <col min="15" max="15" width="25.140625" bestFit="1" customWidth="1"/>
    <col min="16" max="16" width="24.28515625" bestFit="1" customWidth="1"/>
    <col min="17" max="17" width="21.42578125" bestFit="1" customWidth="1"/>
    <col min="18" max="18" width="27" bestFit="1" customWidth="1"/>
    <col min="19" max="19" width="26.140625" bestFit="1" customWidth="1"/>
    <col min="20" max="20" width="27.5703125" bestFit="1" customWidth="1"/>
    <col min="21" max="21" width="18.5703125" bestFit="1" customWidth="1"/>
    <col min="22" max="22" width="19.7109375" bestFit="1" customWidth="1"/>
    <col min="23" max="23" width="26.28515625" bestFit="1" customWidth="1"/>
    <col min="24" max="24" width="25.42578125" bestFit="1" customWidth="1"/>
    <col min="25" max="25" width="22.5703125" bestFit="1" customWidth="1"/>
    <col min="26" max="26" width="28.28515625" bestFit="1" customWidth="1"/>
    <col min="27" max="27" width="27.28515625" bestFit="1" customWidth="1"/>
    <col min="28" max="28" width="28.85546875" bestFit="1" customWidth="1"/>
    <col min="29" max="29" width="16.85546875" bestFit="1" customWidth="1"/>
    <col min="30" max="30" width="17.85546875" bestFit="1" customWidth="1"/>
    <col min="31" max="31" width="17.140625" bestFit="1" customWidth="1"/>
    <col min="32" max="32" width="18.140625" bestFit="1" customWidth="1"/>
    <col min="33" max="33" width="24.5703125" bestFit="1" customWidth="1"/>
    <col min="34" max="34" width="23.7109375" bestFit="1" customWidth="1"/>
    <col min="35" max="35" width="20.85546875" bestFit="1" customWidth="1"/>
    <col min="36" max="36" width="26.42578125" bestFit="1" customWidth="1"/>
    <col min="37" max="37" width="25.5703125" bestFit="1" customWidth="1"/>
    <col min="38" max="38" width="27" bestFit="1" customWidth="1"/>
    <col min="39" max="39" width="16.85546875" bestFit="1" customWidth="1"/>
    <col min="40" max="40" width="15.5703125" bestFit="1" customWidth="1"/>
    <col min="41" max="41" width="81.140625" bestFit="1" customWidth="1"/>
  </cols>
  <sheetData>
    <row r="1" spans="1:41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414</v>
      </c>
      <c r="G1" t="s">
        <v>415</v>
      </c>
      <c r="H1" t="s">
        <v>416</v>
      </c>
      <c r="I1" t="s">
        <v>417</v>
      </c>
      <c r="J1" t="s">
        <v>427</v>
      </c>
      <c r="K1" t="s">
        <v>8</v>
      </c>
      <c r="L1" t="s">
        <v>9</v>
      </c>
      <c r="M1" t="s">
        <v>10</v>
      </c>
      <c r="N1" t="s">
        <v>11</v>
      </c>
      <c r="O1" t="s">
        <v>428</v>
      </c>
      <c r="P1" t="s">
        <v>429</v>
      </c>
      <c r="Q1" t="s">
        <v>430</v>
      </c>
      <c r="R1" t="s">
        <v>431</v>
      </c>
      <c r="S1" t="s">
        <v>432</v>
      </c>
      <c r="T1" t="s">
        <v>433</v>
      </c>
      <c r="U1" t="s">
        <v>418</v>
      </c>
      <c r="V1" t="s">
        <v>419</v>
      </c>
      <c r="W1" t="s">
        <v>420</v>
      </c>
      <c r="X1" t="s">
        <v>421</v>
      </c>
      <c r="Y1" t="s">
        <v>422</v>
      </c>
      <c r="Z1" t="s">
        <v>434</v>
      </c>
      <c r="AA1" t="s">
        <v>435</v>
      </c>
      <c r="AB1" t="s">
        <v>436</v>
      </c>
      <c r="AC1" t="s">
        <v>12</v>
      </c>
      <c r="AD1" t="s">
        <v>13</v>
      </c>
      <c r="AE1" t="s">
        <v>14</v>
      </c>
      <c r="AF1" t="s">
        <v>15</v>
      </c>
      <c r="AG1" t="s">
        <v>16</v>
      </c>
      <c r="AH1" t="s">
        <v>17</v>
      </c>
      <c r="AI1" t="s">
        <v>18</v>
      </c>
      <c r="AJ1" t="s">
        <v>19</v>
      </c>
      <c r="AK1" t="s">
        <v>20</v>
      </c>
      <c r="AL1" t="s">
        <v>21</v>
      </c>
      <c r="AM1" t="s">
        <v>423</v>
      </c>
      <c r="AN1" t="s">
        <v>424</v>
      </c>
      <c r="AO1" t="s">
        <v>400</v>
      </c>
    </row>
    <row r="2" spans="1:41" x14ac:dyDescent="0.25">
      <c r="A2" s="35" t="s">
        <v>401</v>
      </c>
      <c r="B2" s="35" t="s">
        <v>388</v>
      </c>
      <c r="C2" s="35" t="s">
        <v>341</v>
      </c>
      <c r="D2" s="35" t="s">
        <v>695</v>
      </c>
      <c r="E2" s="35" t="s">
        <v>696</v>
      </c>
      <c r="F2" s="35" t="s">
        <v>697</v>
      </c>
      <c r="G2" s="35" t="s">
        <v>698</v>
      </c>
      <c r="H2" s="35" t="s">
        <v>699</v>
      </c>
      <c r="I2" s="35" t="s">
        <v>700</v>
      </c>
      <c r="J2" s="35" t="s">
        <v>701</v>
      </c>
      <c r="K2" s="35" t="s">
        <v>702</v>
      </c>
      <c r="L2" s="35" t="s">
        <v>703</v>
      </c>
      <c r="M2" s="35" t="s">
        <v>31</v>
      </c>
      <c r="N2" s="35" t="s">
        <v>31</v>
      </c>
      <c r="O2" s="35" t="s">
        <v>704</v>
      </c>
      <c r="P2" s="35" t="s">
        <v>705</v>
      </c>
      <c r="Q2" s="35" t="s">
        <v>706</v>
      </c>
      <c r="R2" s="35" t="s">
        <v>439</v>
      </c>
      <c r="S2" s="35" t="s">
        <v>439</v>
      </c>
      <c r="T2" s="35" t="s">
        <v>49</v>
      </c>
      <c r="U2" s="35" t="s">
        <v>707</v>
      </c>
      <c r="V2" s="35" t="s">
        <v>708</v>
      </c>
      <c r="W2" s="35" t="s">
        <v>709</v>
      </c>
      <c r="X2" s="35" t="s">
        <v>710</v>
      </c>
      <c r="Y2" s="35" t="s">
        <v>711</v>
      </c>
      <c r="Z2" s="35" t="s">
        <v>439</v>
      </c>
      <c r="AA2" s="35" t="s">
        <v>442</v>
      </c>
      <c r="AB2" s="35" t="s">
        <v>98</v>
      </c>
      <c r="AC2" s="35" t="s">
        <v>712</v>
      </c>
      <c r="AD2" s="35" t="s">
        <v>713</v>
      </c>
      <c r="AE2" s="35" t="s">
        <v>119</v>
      </c>
      <c r="AF2" s="35" t="s">
        <v>437</v>
      </c>
      <c r="AG2" s="35" t="s">
        <v>714</v>
      </c>
      <c r="AH2" s="35" t="s">
        <v>715</v>
      </c>
      <c r="AI2" s="35" t="s">
        <v>716</v>
      </c>
      <c r="AJ2" s="35" t="s">
        <v>442</v>
      </c>
      <c r="AK2" s="35" t="s">
        <v>442</v>
      </c>
      <c r="AL2" s="35" t="s">
        <v>49</v>
      </c>
      <c r="AM2" s="35" t="s">
        <v>426</v>
      </c>
      <c r="AN2" s="35" t="s">
        <v>475</v>
      </c>
      <c r="AO2" s="35" t="s">
        <v>402</v>
      </c>
    </row>
    <row r="3" spans="1:41" x14ac:dyDescent="0.25">
      <c r="A3" s="35" t="s">
        <v>401</v>
      </c>
      <c r="B3" s="35" t="s">
        <v>388</v>
      </c>
      <c r="C3" s="35" t="s">
        <v>361</v>
      </c>
      <c r="D3" s="35" t="s">
        <v>695</v>
      </c>
      <c r="E3" s="35" t="s">
        <v>717</v>
      </c>
      <c r="F3" s="35" t="s">
        <v>718</v>
      </c>
      <c r="G3" s="35" t="s">
        <v>719</v>
      </c>
      <c r="H3" s="35" t="s">
        <v>720</v>
      </c>
      <c r="I3" s="35" t="s">
        <v>721</v>
      </c>
      <c r="J3" s="35" t="s">
        <v>722</v>
      </c>
      <c r="K3" s="35" t="s">
        <v>49</v>
      </c>
      <c r="L3" s="35" t="s">
        <v>49</v>
      </c>
      <c r="M3" s="35" t="s">
        <v>31</v>
      </c>
      <c r="N3" s="35" t="s">
        <v>31</v>
      </c>
      <c r="O3" s="35" t="s">
        <v>723</v>
      </c>
      <c r="P3" s="35" t="s">
        <v>724</v>
      </c>
      <c r="Q3" s="35" t="s">
        <v>725</v>
      </c>
      <c r="R3" s="35" t="s">
        <v>442</v>
      </c>
      <c r="S3" s="35" t="s">
        <v>442</v>
      </c>
      <c r="T3" s="35" t="s">
        <v>49</v>
      </c>
      <c r="U3" s="35" t="s">
        <v>726</v>
      </c>
      <c r="V3" s="35" t="s">
        <v>727</v>
      </c>
      <c r="W3" s="35" t="s">
        <v>728</v>
      </c>
      <c r="X3" s="35" t="s">
        <v>729</v>
      </c>
      <c r="Y3" s="35" t="s">
        <v>730</v>
      </c>
      <c r="Z3" s="35" t="s">
        <v>442</v>
      </c>
      <c r="AA3" s="35" t="s">
        <v>731</v>
      </c>
      <c r="AB3" s="35" t="s">
        <v>449</v>
      </c>
      <c r="AC3" s="35" t="s">
        <v>732</v>
      </c>
      <c r="AD3" s="35" t="s">
        <v>733</v>
      </c>
      <c r="AE3" s="35" t="s">
        <v>485</v>
      </c>
      <c r="AF3" s="35" t="s">
        <v>437</v>
      </c>
      <c r="AG3" s="35" t="s">
        <v>734</v>
      </c>
      <c r="AH3" s="35" t="s">
        <v>735</v>
      </c>
      <c r="AI3" s="35" t="s">
        <v>736</v>
      </c>
      <c r="AJ3" s="35" t="s">
        <v>737</v>
      </c>
      <c r="AK3" s="35" t="s">
        <v>737</v>
      </c>
      <c r="AL3" s="35" t="s">
        <v>49</v>
      </c>
      <c r="AM3" s="35" t="s">
        <v>426</v>
      </c>
      <c r="AN3" s="35" t="s">
        <v>475</v>
      </c>
      <c r="AO3" s="35" t="s">
        <v>402</v>
      </c>
    </row>
    <row r="4" spans="1:41" x14ac:dyDescent="0.25">
      <c r="A4" s="35" t="s">
        <v>401</v>
      </c>
      <c r="B4" s="35" t="s">
        <v>386</v>
      </c>
      <c r="C4" s="35" t="s">
        <v>24</v>
      </c>
      <c r="D4" s="35" t="s">
        <v>602</v>
      </c>
      <c r="E4" s="35" t="s">
        <v>603</v>
      </c>
      <c r="F4" s="35" t="s">
        <v>604</v>
      </c>
      <c r="G4" s="35" t="s">
        <v>605</v>
      </c>
      <c r="H4" s="35" t="s">
        <v>606</v>
      </c>
      <c r="I4" s="35" t="s">
        <v>607</v>
      </c>
      <c r="J4" s="35" t="s">
        <v>440</v>
      </c>
      <c r="K4" s="35" t="s">
        <v>608</v>
      </c>
      <c r="L4" s="35" t="s">
        <v>609</v>
      </c>
      <c r="M4" s="35" t="s">
        <v>205</v>
      </c>
      <c r="N4" s="35" t="s">
        <v>205</v>
      </c>
      <c r="O4" s="35" t="s">
        <v>610</v>
      </c>
      <c r="P4" s="35" t="s">
        <v>611</v>
      </c>
      <c r="Q4" s="35" t="s">
        <v>612</v>
      </c>
      <c r="R4" s="35" t="s">
        <v>439</v>
      </c>
      <c r="S4" s="35" t="s">
        <v>442</v>
      </c>
      <c r="T4" s="35" t="s">
        <v>98</v>
      </c>
      <c r="U4" s="35" t="s">
        <v>613</v>
      </c>
      <c r="V4" s="35" t="s">
        <v>614</v>
      </c>
      <c r="W4" s="35" t="s">
        <v>615</v>
      </c>
      <c r="X4" s="35" t="s">
        <v>616</v>
      </c>
      <c r="Y4" s="35" t="s">
        <v>617</v>
      </c>
      <c r="Z4" s="35" t="s">
        <v>618</v>
      </c>
      <c r="AA4" s="35" t="s">
        <v>618</v>
      </c>
      <c r="AB4" s="35" t="s">
        <v>49</v>
      </c>
      <c r="AC4" s="35" t="s">
        <v>619</v>
      </c>
      <c r="AD4" s="35" t="s">
        <v>620</v>
      </c>
      <c r="AE4" s="35" t="s">
        <v>49</v>
      </c>
      <c r="AF4" s="35" t="s">
        <v>49</v>
      </c>
      <c r="AG4" s="35" t="s">
        <v>621</v>
      </c>
      <c r="AH4" s="35" t="s">
        <v>622</v>
      </c>
      <c r="AI4" s="35" t="s">
        <v>623</v>
      </c>
      <c r="AJ4" s="35" t="s">
        <v>438</v>
      </c>
      <c r="AK4" s="35" t="s">
        <v>438</v>
      </c>
      <c r="AL4" s="35" t="s">
        <v>49</v>
      </c>
      <c r="AM4" s="35" t="s">
        <v>426</v>
      </c>
      <c r="AN4" s="35" t="s">
        <v>475</v>
      </c>
      <c r="AO4" s="35" t="s">
        <v>402</v>
      </c>
    </row>
    <row r="5" spans="1:41" x14ac:dyDescent="0.25">
      <c r="A5" s="35" t="s">
        <v>401</v>
      </c>
      <c r="B5" s="35" t="s">
        <v>385</v>
      </c>
      <c r="C5" s="35" t="s">
        <v>24</v>
      </c>
      <c r="D5" s="35" t="s">
        <v>528</v>
      </c>
      <c r="E5" s="35" t="s">
        <v>529</v>
      </c>
      <c r="F5" s="35" t="s">
        <v>530</v>
      </c>
      <c r="G5" s="35" t="s">
        <v>531</v>
      </c>
      <c r="H5" s="35" t="s">
        <v>532</v>
      </c>
      <c r="I5" s="35" t="s">
        <v>533</v>
      </c>
      <c r="J5" s="35" t="s">
        <v>534</v>
      </c>
      <c r="K5" s="35" t="s">
        <v>535</v>
      </c>
      <c r="L5" s="35" t="s">
        <v>536</v>
      </c>
      <c r="M5" s="35" t="s">
        <v>537</v>
      </c>
      <c r="N5" s="35" t="s">
        <v>447</v>
      </c>
      <c r="O5" s="35" t="s">
        <v>538</v>
      </c>
      <c r="P5" s="35" t="s">
        <v>539</v>
      </c>
      <c r="Q5" s="35" t="s">
        <v>540</v>
      </c>
      <c r="R5" s="35" t="s">
        <v>442</v>
      </c>
      <c r="S5" s="35" t="s">
        <v>442</v>
      </c>
      <c r="T5" s="35" t="s">
        <v>49</v>
      </c>
      <c r="U5" s="35" t="s">
        <v>541</v>
      </c>
      <c r="V5" s="35" t="s">
        <v>542</v>
      </c>
      <c r="W5" s="35" t="s">
        <v>543</v>
      </c>
      <c r="X5" s="35" t="s">
        <v>544</v>
      </c>
      <c r="Y5" s="35" t="s">
        <v>545</v>
      </c>
      <c r="Z5" s="35" t="s">
        <v>442</v>
      </c>
      <c r="AA5" s="35" t="s">
        <v>546</v>
      </c>
      <c r="AB5" s="35" t="s">
        <v>547</v>
      </c>
      <c r="AC5" s="35" t="s">
        <v>548</v>
      </c>
      <c r="AD5" s="35" t="s">
        <v>549</v>
      </c>
      <c r="AE5" s="35" t="s">
        <v>446</v>
      </c>
      <c r="AF5" s="35" t="s">
        <v>119</v>
      </c>
      <c r="AG5" s="35" t="s">
        <v>550</v>
      </c>
      <c r="AH5" s="35" t="s">
        <v>551</v>
      </c>
      <c r="AI5" s="35" t="s">
        <v>552</v>
      </c>
      <c r="AJ5" s="35" t="s">
        <v>546</v>
      </c>
      <c r="AK5" s="35" t="s">
        <v>546</v>
      </c>
      <c r="AL5" s="35" t="s">
        <v>49</v>
      </c>
      <c r="AM5" s="35" t="s">
        <v>426</v>
      </c>
      <c r="AN5" s="35" t="s">
        <v>475</v>
      </c>
      <c r="AO5" s="35" t="s">
        <v>402</v>
      </c>
    </row>
    <row r="6" spans="1:41" x14ac:dyDescent="0.25">
      <c r="A6" s="35" t="s">
        <v>401</v>
      </c>
      <c r="B6" s="35" t="s">
        <v>384</v>
      </c>
      <c r="C6" s="35" t="s">
        <v>24</v>
      </c>
      <c r="D6" s="35" t="s">
        <v>450</v>
      </c>
      <c r="E6" s="35" t="s">
        <v>451</v>
      </c>
      <c r="F6" s="35" t="s">
        <v>452</v>
      </c>
      <c r="G6" s="35" t="s">
        <v>453</v>
      </c>
      <c r="H6" s="35" t="s">
        <v>454</v>
      </c>
      <c r="I6" s="35" t="s">
        <v>455</v>
      </c>
      <c r="J6" s="35" t="s">
        <v>456</v>
      </c>
      <c r="K6" s="35" t="s">
        <v>457</v>
      </c>
      <c r="L6" s="35" t="s">
        <v>458</v>
      </c>
      <c r="M6" s="35" t="s">
        <v>459</v>
      </c>
      <c r="N6" s="35" t="s">
        <v>31</v>
      </c>
      <c r="O6" s="35" t="s">
        <v>460</v>
      </c>
      <c r="P6" s="35" t="s">
        <v>461</v>
      </c>
      <c r="Q6" s="35" t="s">
        <v>462</v>
      </c>
      <c r="R6" s="35" t="s">
        <v>463</v>
      </c>
      <c r="S6" s="35" t="s">
        <v>463</v>
      </c>
      <c r="T6" s="35" t="s">
        <v>49</v>
      </c>
      <c r="U6" s="35" t="s">
        <v>464</v>
      </c>
      <c r="V6" s="35" t="s">
        <v>465</v>
      </c>
      <c r="W6" s="35" t="s">
        <v>466</v>
      </c>
      <c r="X6" s="35" t="s">
        <v>467</v>
      </c>
      <c r="Y6" s="35" t="s">
        <v>468</v>
      </c>
      <c r="Z6" s="35" t="s">
        <v>463</v>
      </c>
      <c r="AA6" s="35" t="s">
        <v>469</v>
      </c>
      <c r="AB6" s="35" t="s">
        <v>470</v>
      </c>
      <c r="AC6" s="35" t="s">
        <v>471</v>
      </c>
      <c r="AD6" s="35" t="s">
        <v>472</v>
      </c>
      <c r="AE6" s="35" t="s">
        <v>49</v>
      </c>
      <c r="AF6" s="35" t="s">
        <v>49</v>
      </c>
      <c r="AG6" s="35" t="s">
        <v>473</v>
      </c>
      <c r="AH6" s="35" t="s">
        <v>474</v>
      </c>
      <c r="AI6" s="35" t="s">
        <v>444</v>
      </c>
      <c r="AJ6" s="35" t="s">
        <v>469</v>
      </c>
      <c r="AK6" s="35" t="s">
        <v>469</v>
      </c>
      <c r="AL6" s="35" t="s">
        <v>49</v>
      </c>
      <c r="AM6" s="35" t="s">
        <v>426</v>
      </c>
      <c r="AN6" s="35" t="s">
        <v>475</v>
      </c>
      <c r="AO6" s="35" t="s">
        <v>402</v>
      </c>
    </row>
    <row r="7" spans="1:41" x14ac:dyDescent="0.25">
      <c r="A7" s="35" t="s">
        <v>401</v>
      </c>
      <c r="B7" s="35" t="s">
        <v>387</v>
      </c>
      <c r="C7" s="35" t="s">
        <v>24</v>
      </c>
      <c r="D7" s="35" t="s">
        <v>624</v>
      </c>
      <c r="E7" s="35" t="s">
        <v>625</v>
      </c>
      <c r="F7" s="35" t="s">
        <v>626</v>
      </c>
      <c r="G7" s="35" t="s">
        <v>627</v>
      </c>
      <c r="H7" s="35" t="s">
        <v>628</v>
      </c>
      <c r="I7" s="35" t="s">
        <v>629</v>
      </c>
      <c r="J7" s="35" t="s">
        <v>630</v>
      </c>
      <c r="K7" s="35" t="s">
        <v>631</v>
      </c>
      <c r="L7" s="35" t="s">
        <v>632</v>
      </c>
      <c r="M7" s="35" t="s">
        <v>633</v>
      </c>
      <c r="N7" s="35" t="s">
        <v>82</v>
      </c>
      <c r="O7" s="35" t="s">
        <v>634</v>
      </c>
      <c r="P7" s="35" t="s">
        <v>635</v>
      </c>
      <c r="Q7" s="35" t="s">
        <v>636</v>
      </c>
      <c r="R7" s="35" t="s">
        <v>439</v>
      </c>
      <c r="S7" s="35" t="s">
        <v>546</v>
      </c>
      <c r="T7" s="35" t="s">
        <v>470</v>
      </c>
      <c r="U7" s="35" t="s">
        <v>637</v>
      </c>
      <c r="V7" s="35" t="s">
        <v>638</v>
      </c>
      <c r="W7" s="35" t="s">
        <v>639</v>
      </c>
      <c r="X7" s="35" t="s">
        <v>640</v>
      </c>
      <c r="Y7" s="35" t="s">
        <v>641</v>
      </c>
      <c r="Z7" s="35" t="s">
        <v>546</v>
      </c>
      <c r="AA7" s="35" t="s">
        <v>546</v>
      </c>
      <c r="AB7" s="35" t="s">
        <v>49</v>
      </c>
      <c r="AC7" s="35" t="s">
        <v>642</v>
      </c>
      <c r="AD7" s="35" t="s">
        <v>643</v>
      </c>
      <c r="AE7" s="35" t="s">
        <v>49</v>
      </c>
      <c r="AF7" s="35" t="s">
        <v>49</v>
      </c>
      <c r="AG7" s="35" t="s">
        <v>644</v>
      </c>
      <c r="AH7" s="35" t="s">
        <v>645</v>
      </c>
      <c r="AI7" s="35" t="s">
        <v>646</v>
      </c>
      <c r="AJ7" s="35" t="s">
        <v>438</v>
      </c>
      <c r="AK7" s="35" t="s">
        <v>438</v>
      </c>
      <c r="AL7" s="35" t="s">
        <v>49</v>
      </c>
      <c r="AM7" s="35" t="s">
        <v>426</v>
      </c>
      <c r="AN7" s="35" t="s">
        <v>475</v>
      </c>
      <c r="AO7" s="35" t="s">
        <v>402</v>
      </c>
    </row>
    <row r="8" spans="1:41" x14ac:dyDescent="0.25">
      <c r="A8" s="35" t="s">
        <v>401</v>
      </c>
      <c r="B8" s="35" t="s">
        <v>384</v>
      </c>
      <c r="C8" s="35" t="s">
        <v>50</v>
      </c>
      <c r="D8" s="35" t="s">
        <v>476</v>
      </c>
      <c r="E8" s="35" t="s">
        <v>477</v>
      </c>
      <c r="F8" s="35" t="s">
        <v>478</v>
      </c>
      <c r="G8" s="35" t="s">
        <v>479</v>
      </c>
      <c r="H8" s="35" t="s">
        <v>480</v>
      </c>
      <c r="I8" s="35" t="s">
        <v>481</v>
      </c>
      <c r="J8" s="35" t="s">
        <v>482</v>
      </c>
      <c r="K8" s="35" t="s">
        <v>483</v>
      </c>
      <c r="L8" s="35" t="s">
        <v>484</v>
      </c>
      <c r="M8" s="35" t="s">
        <v>485</v>
      </c>
      <c r="N8" s="35" t="s">
        <v>31</v>
      </c>
      <c r="O8" s="35" t="s">
        <v>486</v>
      </c>
      <c r="P8" s="35" t="s">
        <v>487</v>
      </c>
      <c r="Q8" s="35" t="s">
        <v>488</v>
      </c>
      <c r="R8" s="35" t="s">
        <v>463</v>
      </c>
      <c r="S8" s="35" t="s">
        <v>489</v>
      </c>
      <c r="T8" s="35" t="s">
        <v>98</v>
      </c>
      <c r="U8" s="35" t="s">
        <v>490</v>
      </c>
      <c r="V8" s="35" t="s">
        <v>491</v>
      </c>
      <c r="W8" s="35" t="s">
        <v>492</v>
      </c>
      <c r="X8" s="35" t="s">
        <v>493</v>
      </c>
      <c r="Y8" s="35" t="s">
        <v>494</v>
      </c>
      <c r="Z8" s="35" t="s">
        <v>489</v>
      </c>
      <c r="AA8" s="35" t="s">
        <v>489</v>
      </c>
      <c r="AB8" s="35" t="s">
        <v>49</v>
      </c>
      <c r="AC8" s="35" t="s">
        <v>495</v>
      </c>
      <c r="AD8" s="35" t="s">
        <v>496</v>
      </c>
      <c r="AE8" s="35" t="s">
        <v>497</v>
      </c>
      <c r="AF8" s="35" t="s">
        <v>498</v>
      </c>
      <c r="AG8" s="35" t="s">
        <v>499</v>
      </c>
      <c r="AH8" s="35" t="s">
        <v>500</v>
      </c>
      <c r="AI8" s="35" t="s">
        <v>501</v>
      </c>
      <c r="AJ8" s="35" t="s">
        <v>502</v>
      </c>
      <c r="AK8" s="35" t="s">
        <v>502</v>
      </c>
      <c r="AL8" s="35" t="s">
        <v>49</v>
      </c>
      <c r="AM8" s="35" t="s">
        <v>426</v>
      </c>
      <c r="AN8" s="35" t="s">
        <v>475</v>
      </c>
      <c r="AO8" s="35" t="s">
        <v>402</v>
      </c>
    </row>
    <row r="9" spans="1:41" x14ac:dyDescent="0.25">
      <c r="A9" s="35" t="s">
        <v>401</v>
      </c>
      <c r="B9" s="35" t="s">
        <v>385</v>
      </c>
      <c r="C9" s="35" t="s">
        <v>75</v>
      </c>
      <c r="D9" s="35" t="s">
        <v>553</v>
      </c>
      <c r="E9" s="35" t="s">
        <v>554</v>
      </c>
      <c r="F9" s="35" t="s">
        <v>555</v>
      </c>
      <c r="G9" s="35" t="s">
        <v>556</v>
      </c>
      <c r="H9" s="35" t="s">
        <v>557</v>
      </c>
      <c r="I9" s="35" t="s">
        <v>558</v>
      </c>
      <c r="J9" s="35" t="s">
        <v>148</v>
      </c>
      <c r="K9" s="35" t="s">
        <v>559</v>
      </c>
      <c r="L9" s="35" t="s">
        <v>560</v>
      </c>
      <c r="M9" s="35" t="s">
        <v>354</v>
      </c>
      <c r="N9" s="35" t="s">
        <v>31</v>
      </c>
      <c r="O9" s="35" t="s">
        <v>561</v>
      </c>
      <c r="P9" s="35" t="s">
        <v>562</v>
      </c>
      <c r="Q9" s="35" t="s">
        <v>563</v>
      </c>
      <c r="R9" s="35" t="s">
        <v>442</v>
      </c>
      <c r="S9" s="35" t="s">
        <v>442</v>
      </c>
      <c r="T9" s="35" t="s">
        <v>49</v>
      </c>
      <c r="U9" s="35" t="s">
        <v>564</v>
      </c>
      <c r="V9" s="35" t="s">
        <v>565</v>
      </c>
      <c r="W9" s="35" t="s">
        <v>566</v>
      </c>
      <c r="X9" s="35" t="s">
        <v>567</v>
      </c>
      <c r="Y9" s="35" t="s">
        <v>568</v>
      </c>
      <c r="Z9" s="35" t="s">
        <v>442</v>
      </c>
      <c r="AA9" s="35" t="s">
        <v>569</v>
      </c>
      <c r="AB9" s="35" t="s">
        <v>570</v>
      </c>
      <c r="AC9" s="35" t="s">
        <v>571</v>
      </c>
      <c r="AD9" s="35" t="s">
        <v>572</v>
      </c>
      <c r="AE9" s="35" t="s">
        <v>573</v>
      </c>
      <c r="AF9" s="35" t="s">
        <v>448</v>
      </c>
      <c r="AG9" s="35" t="s">
        <v>574</v>
      </c>
      <c r="AH9" s="35" t="s">
        <v>575</v>
      </c>
      <c r="AI9" s="35" t="s">
        <v>576</v>
      </c>
      <c r="AJ9" s="35" t="s">
        <v>577</v>
      </c>
      <c r="AK9" s="35" t="s">
        <v>577</v>
      </c>
      <c r="AL9" s="35" t="s">
        <v>49</v>
      </c>
      <c r="AM9" s="35" t="s">
        <v>426</v>
      </c>
      <c r="AN9" s="35" t="s">
        <v>475</v>
      </c>
      <c r="AO9" s="35" t="s">
        <v>402</v>
      </c>
    </row>
    <row r="10" spans="1:41" x14ac:dyDescent="0.25">
      <c r="A10" s="35" t="s">
        <v>401</v>
      </c>
      <c r="B10" s="35" t="s">
        <v>384</v>
      </c>
      <c r="C10" s="35" t="s">
        <v>75</v>
      </c>
      <c r="D10" s="35" t="s">
        <v>503</v>
      </c>
      <c r="E10" s="35" t="s">
        <v>504</v>
      </c>
      <c r="F10" s="35" t="s">
        <v>505</v>
      </c>
      <c r="G10" s="35" t="s">
        <v>506</v>
      </c>
      <c r="H10" s="35" t="s">
        <v>507</v>
      </c>
      <c r="I10" s="35" t="s">
        <v>508</v>
      </c>
      <c r="J10" s="35" t="s">
        <v>509</v>
      </c>
      <c r="K10" s="35" t="s">
        <v>150</v>
      </c>
      <c r="L10" s="35" t="s">
        <v>510</v>
      </c>
      <c r="M10" s="35" t="s">
        <v>354</v>
      </c>
      <c r="N10" s="35" t="s">
        <v>82</v>
      </c>
      <c r="O10" s="35" t="s">
        <v>511</v>
      </c>
      <c r="P10" s="35" t="s">
        <v>512</v>
      </c>
      <c r="Q10" s="35" t="s">
        <v>513</v>
      </c>
      <c r="R10" s="35" t="s">
        <v>442</v>
      </c>
      <c r="S10" s="35" t="s">
        <v>441</v>
      </c>
      <c r="T10" s="35" t="s">
        <v>514</v>
      </c>
      <c r="U10" s="35" t="s">
        <v>515</v>
      </c>
      <c r="V10" s="35" t="s">
        <v>516</v>
      </c>
      <c r="W10" s="35" t="s">
        <v>517</v>
      </c>
      <c r="X10" s="35" t="s">
        <v>518</v>
      </c>
      <c r="Y10" s="35" t="s">
        <v>519</v>
      </c>
      <c r="Z10" s="35" t="s">
        <v>441</v>
      </c>
      <c r="AA10" s="35" t="s">
        <v>438</v>
      </c>
      <c r="AB10" s="35" t="s">
        <v>470</v>
      </c>
      <c r="AC10" s="35" t="s">
        <v>520</v>
      </c>
      <c r="AD10" s="35" t="s">
        <v>521</v>
      </c>
      <c r="AE10" s="35" t="s">
        <v>522</v>
      </c>
      <c r="AF10" s="35" t="s">
        <v>523</v>
      </c>
      <c r="AG10" s="35" t="s">
        <v>524</v>
      </c>
      <c r="AH10" s="35" t="s">
        <v>525</v>
      </c>
      <c r="AI10" s="35" t="s">
        <v>526</v>
      </c>
      <c r="AJ10" s="35" t="s">
        <v>527</v>
      </c>
      <c r="AK10" s="35" t="s">
        <v>527</v>
      </c>
      <c r="AL10" s="35" t="s">
        <v>49</v>
      </c>
      <c r="AM10" s="35" t="s">
        <v>426</v>
      </c>
      <c r="AN10" s="35" t="s">
        <v>475</v>
      </c>
      <c r="AO10" s="35" t="s">
        <v>402</v>
      </c>
    </row>
    <row r="11" spans="1:41" x14ac:dyDescent="0.25">
      <c r="A11" s="35" t="s">
        <v>401</v>
      </c>
      <c r="B11" s="35" t="s">
        <v>387</v>
      </c>
      <c r="C11" s="35" t="s">
        <v>75</v>
      </c>
      <c r="D11" s="35" t="s">
        <v>647</v>
      </c>
      <c r="E11" s="35" t="s">
        <v>648</v>
      </c>
      <c r="F11" s="35" t="s">
        <v>649</v>
      </c>
      <c r="G11" s="35" t="s">
        <v>650</v>
      </c>
      <c r="H11" s="35" t="s">
        <v>651</v>
      </c>
      <c r="I11" s="35" t="s">
        <v>652</v>
      </c>
      <c r="J11" s="35" t="s">
        <v>653</v>
      </c>
      <c r="K11" s="35" t="s">
        <v>654</v>
      </c>
      <c r="L11" s="35" t="s">
        <v>655</v>
      </c>
      <c r="M11" s="35" t="s">
        <v>445</v>
      </c>
      <c r="N11" s="35" t="s">
        <v>437</v>
      </c>
      <c r="O11" s="35" t="s">
        <v>656</v>
      </c>
      <c r="P11" s="35" t="s">
        <v>657</v>
      </c>
      <c r="Q11" s="35" t="s">
        <v>658</v>
      </c>
      <c r="R11" s="35" t="s">
        <v>442</v>
      </c>
      <c r="S11" s="35" t="s">
        <v>546</v>
      </c>
      <c r="T11" s="35" t="s">
        <v>547</v>
      </c>
      <c r="U11" s="35" t="s">
        <v>659</v>
      </c>
      <c r="V11" s="35" t="s">
        <v>660</v>
      </c>
      <c r="W11" s="35" t="s">
        <v>661</v>
      </c>
      <c r="X11" s="35" t="s">
        <v>662</v>
      </c>
      <c r="Y11" s="35" t="s">
        <v>663</v>
      </c>
      <c r="Z11" s="35" t="s">
        <v>546</v>
      </c>
      <c r="AA11" s="35" t="s">
        <v>664</v>
      </c>
      <c r="AB11" s="35" t="s">
        <v>665</v>
      </c>
      <c r="AC11" s="35" t="s">
        <v>666</v>
      </c>
      <c r="AD11" s="35" t="s">
        <v>667</v>
      </c>
      <c r="AE11" s="35" t="s">
        <v>668</v>
      </c>
      <c r="AF11" s="35" t="s">
        <v>251</v>
      </c>
      <c r="AG11" s="35" t="s">
        <v>669</v>
      </c>
      <c r="AH11" s="35" t="s">
        <v>670</v>
      </c>
      <c r="AI11" s="35" t="s">
        <v>671</v>
      </c>
      <c r="AJ11" s="35" t="s">
        <v>672</v>
      </c>
      <c r="AK11" s="35" t="s">
        <v>672</v>
      </c>
      <c r="AL11" s="35" t="s">
        <v>49</v>
      </c>
      <c r="AM11" s="35" t="s">
        <v>426</v>
      </c>
      <c r="AN11" s="35" t="s">
        <v>475</v>
      </c>
      <c r="AO11" s="35" t="s">
        <v>402</v>
      </c>
    </row>
    <row r="12" spans="1:41" x14ac:dyDescent="0.25">
      <c r="A12" s="35" t="s">
        <v>401</v>
      </c>
      <c r="B12" s="35" t="s">
        <v>385</v>
      </c>
      <c r="C12" s="35" t="s">
        <v>178</v>
      </c>
      <c r="D12" s="35" t="s">
        <v>578</v>
      </c>
      <c r="E12" s="35" t="s">
        <v>579</v>
      </c>
      <c r="F12" s="35" t="s">
        <v>580</v>
      </c>
      <c r="G12" s="35" t="s">
        <v>581</v>
      </c>
      <c r="H12" s="35" t="s">
        <v>582</v>
      </c>
      <c r="I12" s="35" t="s">
        <v>583</v>
      </c>
      <c r="J12" s="35" t="s">
        <v>584</v>
      </c>
      <c r="K12" s="35" t="s">
        <v>585</v>
      </c>
      <c r="L12" s="35" t="s">
        <v>586</v>
      </c>
      <c r="M12" s="35" t="s">
        <v>587</v>
      </c>
      <c r="N12" s="35" t="s">
        <v>443</v>
      </c>
      <c r="O12" s="35" t="s">
        <v>588</v>
      </c>
      <c r="P12" s="35" t="s">
        <v>589</v>
      </c>
      <c r="Q12" s="35" t="s">
        <v>590</v>
      </c>
      <c r="R12" s="35" t="s">
        <v>442</v>
      </c>
      <c r="S12" s="35" t="s">
        <v>489</v>
      </c>
      <c r="T12" s="35" t="s">
        <v>591</v>
      </c>
      <c r="U12" s="35" t="s">
        <v>592</v>
      </c>
      <c r="V12" s="35" t="s">
        <v>593</v>
      </c>
      <c r="W12" s="35" t="s">
        <v>594</v>
      </c>
      <c r="X12" s="35" t="s">
        <v>595</v>
      </c>
      <c r="Y12" s="35" t="s">
        <v>596</v>
      </c>
      <c r="Z12" s="35" t="s">
        <v>489</v>
      </c>
      <c r="AA12" s="35" t="s">
        <v>469</v>
      </c>
      <c r="AB12" s="35" t="s">
        <v>547</v>
      </c>
      <c r="AC12" s="35" t="s">
        <v>597</v>
      </c>
      <c r="AD12" s="35" t="s">
        <v>598</v>
      </c>
      <c r="AE12" s="35" t="s">
        <v>49</v>
      </c>
      <c r="AF12" s="35" t="s">
        <v>49</v>
      </c>
      <c r="AG12" s="35" t="s">
        <v>599</v>
      </c>
      <c r="AH12" s="35" t="s">
        <v>600</v>
      </c>
      <c r="AI12" s="35" t="s">
        <v>601</v>
      </c>
      <c r="AJ12" s="35" t="s">
        <v>469</v>
      </c>
      <c r="AK12" s="35" t="s">
        <v>469</v>
      </c>
      <c r="AL12" s="35" t="s">
        <v>49</v>
      </c>
      <c r="AM12" s="35" t="s">
        <v>426</v>
      </c>
      <c r="AN12" s="35" t="s">
        <v>475</v>
      </c>
      <c r="AO12" s="35" t="s">
        <v>402</v>
      </c>
    </row>
    <row r="13" spans="1:41" x14ac:dyDescent="0.25">
      <c r="A13" s="35" t="s">
        <v>401</v>
      </c>
      <c r="B13" s="35" t="s">
        <v>387</v>
      </c>
      <c r="C13" s="35" t="s">
        <v>178</v>
      </c>
      <c r="D13" s="35" t="s">
        <v>673</v>
      </c>
      <c r="E13" s="35" t="s">
        <v>674</v>
      </c>
      <c r="F13" s="35" t="s">
        <v>675</v>
      </c>
      <c r="G13" s="35" t="s">
        <v>676</v>
      </c>
      <c r="H13" s="35" t="s">
        <v>677</v>
      </c>
      <c r="I13" s="35" t="s">
        <v>678</v>
      </c>
      <c r="J13" s="35" t="s">
        <v>679</v>
      </c>
      <c r="K13" s="35" t="s">
        <v>680</v>
      </c>
      <c r="L13" s="35" t="s">
        <v>681</v>
      </c>
      <c r="M13" s="35" t="s">
        <v>119</v>
      </c>
      <c r="N13" s="35" t="s">
        <v>437</v>
      </c>
      <c r="O13" s="35" t="s">
        <v>682</v>
      </c>
      <c r="P13" s="35" t="s">
        <v>683</v>
      </c>
      <c r="Q13" s="35" t="s">
        <v>684</v>
      </c>
      <c r="R13" s="35" t="s">
        <v>442</v>
      </c>
      <c r="S13" s="35" t="s">
        <v>546</v>
      </c>
      <c r="T13" s="35" t="s">
        <v>547</v>
      </c>
      <c r="U13" s="35" t="s">
        <v>685</v>
      </c>
      <c r="V13" s="35" t="s">
        <v>686</v>
      </c>
      <c r="W13" s="35" t="s">
        <v>687</v>
      </c>
      <c r="X13" s="35" t="s">
        <v>688</v>
      </c>
      <c r="Y13" s="35" t="s">
        <v>689</v>
      </c>
      <c r="Z13" s="35" t="s">
        <v>546</v>
      </c>
      <c r="AA13" s="35" t="s">
        <v>546</v>
      </c>
      <c r="AB13" s="35" t="s">
        <v>49</v>
      </c>
      <c r="AC13" s="35" t="s">
        <v>690</v>
      </c>
      <c r="AD13" s="35" t="s">
        <v>691</v>
      </c>
      <c r="AE13" s="35" t="s">
        <v>49</v>
      </c>
      <c r="AF13" s="35" t="s">
        <v>49</v>
      </c>
      <c r="AG13" s="35" t="s">
        <v>692</v>
      </c>
      <c r="AH13" s="35" t="s">
        <v>693</v>
      </c>
      <c r="AI13" s="35" t="s">
        <v>694</v>
      </c>
      <c r="AJ13" s="35" t="s">
        <v>438</v>
      </c>
      <c r="AK13" s="35" t="s">
        <v>438</v>
      </c>
      <c r="AL13" s="35" t="s">
        <v>49</v>
      </c>
      <c r="AM13" s="35" t="s">
        <v>426</v>
      </c>
      <c r="AN13" s="35" t="s">
        <v>475</v>
      </c>
      <c r="AO13" s="35" t="s">
        <v>402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5D3FF-B961-41C4-A7F9-5237CF88D41A}">
  <dimension ref="A1"/>
  <sheetViews>
    <sheetView workbookViewId="0">
      <selection activeCell="O20" sqref="O20"/>
    </sheetView>
  </sheetViews>
  <sheetFormatPr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FB139-00B1-454B-A7C1-DBF03731824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79E76D-3303-4C82-BFA1-B0B8BEE04F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11</vt:i4>
      </vt:variant>
    </vt:vector>
  </HeadingPairs>
  <TitlesOfParts>
    <vt:vector size="11" baseType="lpstr">
      <vt:lpstr>session_results_image</vt:lpstr>
      <vt:lpstr>Arkusz6</vt:lpstr>
      <vt:lpstr>Arkusz2</vt:lpstr>
      <vt:lpstr>session-image-tables</vt:lpstr>
      <vt:lpstr>session_results_text</vt:lpstr>
      <vt:lpstr>benchmark_results_image (2)</vt:lpstr>
      <vt:lpstr>vram_benchmark_results_image</vt:lpstr>
      <vt:lpstr>benchmark_results_text (2)</vt:lpstr>
      <vt:lpstr>vram_benchmark_results_text (3)</vt:lpstr>
      <vt:lpstr>Arkusz5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Andrzej Małolepszy</dc:creator>
  <cp:lastModifiedBy>Andrzej 103777</cp:lastModifiedBy>
  <dcterms:created xsi:type="dcterms:W3CDTF">2015-06-05T18:19:34Z</dcterms:created>
  <dcterms:modified xsi:type="dcterms:W3CDTF">2026-05-16T13:21:50Z</dcterms:modified>
</cp:coreProperties>
</file>