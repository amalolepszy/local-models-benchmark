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local-models-benchmark\benchmark_results\"/>
    </mc:Choice>
  </mc:AlternateContent>
  <xr:revisionPtr revIDLastSave="0" documentId="13_ncr:1_{0E6A7850-F4ED-45D6-8AC8-D9A4165F6C84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speedometer_under_load_summary_" sheetId="2" r:id="rId1"/>
    <sheet name="speedometer_under_load_summ (2)" sheetId="3" r:id="rId2"/>
    <sheet name="Arkusz1" sheetId="1" r:id="rId3"/>
  </sheets>
  <definedNames>
    <definedName name="ExternalData_1" localSheetId="1" hidden="1">'speedometer_under_load_summ (2)'!$A$1:$Q$14</definedName>
    <definedName name="ExternalData_1" localSheetId="0" hidden="1">speedometer_under_load_summary_!$A$1:$Q$16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3" l="1"/>
  <c r="L29" i="3"/>
  <c r="L2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94AB9A-25BC-4869-8022-D34D7642AB8D}" keepAlive="1" name="Zapytanie — speedometer_under_load_summary_image" description="Połączenie z zapytaniem „speedometer_under_load_summary_image” w skoroszycie." type="5" refreshedVersion="8" background="1" saveData="1">
    <dbPr connection="Provider=Microsoft.Mashup.OleDb.1;Data Source=$Workbook$;Location=speedometer_under_load_summary_image;Extended Properties=&quot;&quot;" command="SELECT * FROM [speedometer_under_load_summary_image]"/>
  </connection>
  <connection id="2" xr16:uid="{581EAD68-EA99-4559-A1EF-E3C30F7FAA9E}" keepAlive="1" name="Zapytanie — speedometer_under_load_summary_text" description="Połączenie z zapytaniem „speedometer_under_load_summary_text” w skoroszycie." type="5" refreshedVersion="8" background="1" saveData="1">
    <dbPr connection="Provider=Microsoft.Mashup.OleDb.1;Data Source=$Workbook$;Location=speedometer_under_load_summary_text;Extended Properties=&quot;&quot;" command="SELECT * FROM [speedometer_under_load_summary_text]"/>
  </connection>
</connections>
</file>

<file path=xl/sharedStrings.xml><?xml version="1.0" encoding="utf-8"?>
<sst xmlns="http://schemas.openxmlformats.org/spreadsheetml/2006/main" count="232" uniqueCount="34">
  <si>
    <t>Task</t>
  </si>
  <si>
    <t>Scenario</t>
  </si>
  <si>
    <t>Framework</t>
  </si>
  <si>
    <t>Backend</t>
  </si>
  <si>
    <t>Score_Avg</t>
  </si>
  <si>
    <t>Score_Min</t>
  </si>
  <si>
    <t>Score_Max</t>
  </si>
  <si>
    <t>Score_P95</t>
  </si>
  <si>
    <t>Score_Stdev</t>
  </si>
  <si>
    <t>Throughput_Avg</t>
  </si>
  <si>
    <t>Throughput_Min</t>
  </si>
  <si>
    <t>Throughput_Max</t>
  </si>
  <si>
    <t>Throughput_P95</t>
  </si>
  <si>
    <t>Inferences_Avg</t>
  </si>
  <si>
    <t>Inferences_Min</t>
  </si>
  <si>
    <t>Inferences_Max</t>
  </si>
  <si>
    <t>SpeedometerDeltaPct_Avg</t>
  </si>
  <si>
    <t>image</t>
  </si>
  <si>
    <t>baseline</t>
  </si>
  <si>
    <t/>
  </si>
  <si>
    <t>under_load</t>
  </si>
  <si>
    <t>TensorFlow.js</t>
  </si>
  <si>
    <t>WASM</t>
  </si>
  <si>
    <t>WebGL</t>
  </si>
  <si>
    <t>WebGPU</t>
  </si>
  <si>
    <t>ONNX</t>
  </si>
  <si>
    <t>WebNN</t>
  </si>
  <si>
    <t>LiteRT.js</t>
  </si>
  <si>
    <t>Transformers.js</t>
  </si>
  <si>
    <t>tfliteNative</t>
  </si>
  <si>
    <t>CPU</t>
  </si>
  <si>
    <t>GPU</t>
  </si>
  <si>
    <t>-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</si>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</sst>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2" fontId="0" fillId="0" borderId="0" xfId="0" applyNumberFormat="1"/>
    <xf numFmtId="0" fontId="0" fillId="3" borderId="1" xfId="0" applyNumberFormat="1" applyFont="1" applyFill="1" applyBorder="1"/>
    <xf numFmtId="2" fontId="0" fillId="3" borderId="1" xfId="0" applyNumberFormat="1" applyFont="1" applyFill="1" applyBorder="1"/>
    <xf numFmtId="0" fontId="0" fillId="0" borderId="1" xfId="0" applyNumberFormat="1" applyFont="1" applyBorder="1"/>
    <xf numFmtId="2" fontId="0" fillId="0" borderId="1" xfId="0" applyNumberFormat="1" applyFont="1" applyBorder="1"/>
    <xf numFmtId="2" fontId="0" fillId="3" borderId="2" xfId="0" applyNumberFormat="1" applyFont="1" applyFill="1" applyBorder="1"/>
    <xf numFmtId="2" fontId="0" fillId="0" borderId="2" xfId="0" applyNumberFormat="1" applyFont="1" applyBorder="1"/>
    <xf numFmtId="0" fontId="1" fillId="2" borderId="3" xfId="0" applyFont="1" applyFill="1" applyBorder="1"/>
    <xf numFmtId="0" fontId="0" fillId="3" borderId="4" xfId="0" applyNumberFormat="1" applyFont="1" applyFill="1" applyBorder="1"/>
    <xf numFmtId="2" fontId="0" fillId="3" borderId="4" xfId="0" applyNumberFormat="1" applyFont="1" applyFill="1" applyBorder="1"/>
  </cellXfs>
  <cellStyles count="1">
    <cellStyle name="Normalny" xfId="0" builtinId="0"/>
  </cellStyles>
  <dxfs count="4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D06615-70E2-4637-A3A0-CB6B1A8C5602}" autoFormatId="16" applyNumberFormats="0" applyBorderFormats="0" applyFontFormats="0" applyPatternFormats="0" applyAlignmentFormats="0" applyWidthHeightFormats="0">
  <queryTableRefresh nextId="18">
    <queryTableFields count="17">
      <queryTableField id="1" name="Task" tableColumnId="1"/>
      <queryTableField id="2" name="Scenario" tableColumnId="2"/>
      <queryTableField id="3" name="Framework" tableColumnId="3"/>
      <queryTableField id="4" name="Backend" tableColumnId="4"/>
      <queryTableField id="5" name="Score_Avg" tableColumnId="5"/>
      <queryTableField id="6" name="Score_Min" tableColumnId="6"/>
      <queryTableField id="7" name="Score_Max" tableColumnId="7"/>
      <queryTableField id="8" name="Score_P95" tableColumnId="8"/>
      <queryTableField id="9" name="Score_Stdev" tableColumnId="9"/>
      <queryTableField id="10" name="Throughput_Avg" tableColumnId="10"/>
      <queryTableField id="11" name="Throughput_Min" tableColumnId="11"/>
      <queryTableField id="12" name="Throughput_Max" tableColumnId="12"/>
      <queryTableField id="13" name="Throughput_P95" tableColumnId="13"/>
      <queryTableField id="14" name="Inferences_Avg" tableColumnId="14"/>
      <queryTableField id="15" name="Inferences_Min" tableColumnId="15"/>
      <queryTableField id="16" name="Inferences_Max" tableColumnId="16"/>
      <queryTableField id="17" name="SpeedometerDeltaPct_Avg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663828-069F-416A-9612-AE4F23F1B1CE}" autoFormatId="16" applyNumberFormats="0" applyBorderFormats="0" applyFontFormats="0" applyPatternFormats="0" applyAlignmentFormats="0" applyWidthHeightFormats="0">
  <queryTableRefresh nextId="20">
    <queryTableFields count="17">
      <queryTableField id="1" name="Task" tableColumnId="1"/>
      <queryTableField id="2" name="Scenario" tableColumnId="2"/>
      <queryTableField id="3" name="Framework" tableColumnId="3"/>
      <queryTableField id="4" name="Backend" tableColumnId="4"/>
      <queryTableField id="7" name="Score_Avg" tableColumnId="7"/>
      <queryTableField id="8" name="Score_Min" tableColumnId="8"/>
      <queryTableField id="9" name="Score_Max" tableColumnId="9"/>
      <queryTableField id="10" name="Score_P95" tableColumnId="10"/>
      <queryTableField id="11" name="Score_Stdev" tableColumnId="11"/>
      <queryTableField id="12" name="Throughput_Avg" tableColumnId="12"/>
      <queryTableField id="13" name="Throughput_Min" tableColumnId="13"/>
      <queryTableField id="14" name="Throughput_Max" tableColumnId="14"/>
      <queryTableField id="15" name="Throughput_P95" tableColumnId="15"/>
      <queryTableField id="16" name="Inferences_Avg" tableColumnId="16"/>
      <queryTableField id="17" name="Inferences_Min" tableColumnId="17"/>
      <queryTableField id="18" name="Inferences_Max" tableColumnId="18"/>
      <queryTableField id="19" name="SpeedometerDeltaPct_Avg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F98785-4CB6-4491-AE03-2BDE0775B96D}" name="speedometer_under_load_summary_image" displayName="speedometer_under_load_summary_image" ref="A1:Q16" tableType="queryTable" totalsRowShown="0">
  <autoFilter ref="A1:Q16" xr:uid="{59F98785-4CB6-4491-AE03-2BDE0775B96D}"/>
  <sortState xmlns:xlrd2="http://schemas.microsoft.com/office/spreadsheetml/2017/richdata2" ref="A2:Q16">
    <sortCondition descending="1" ref="Q1:Q16"/>
  </sortState>
  <tableColumns count="17">
    <tableColumn id="1" xr3:uid="{9522C0B2-956B-4763-AA85-5D2FB4BD89A5}" uniqueName="1" name="Task" queryTableFieldId="1" dataDxfId="46"/>
    <tableColumn id="2" xr3:uid="{25E039DF-F31F-49DB-8AF7-51EFC24AAF9D}" uniqueName="2" name="Scenario" queryTableFieldId="2" dataDxfId="45"/>
    <tableColumn id="3" xr3:uid="{39E5FD41-604A-47EA-9597-051225A339F8}" uniqueName="3" name="Framework" queryTableFieldId="3" dataDxfId="44"/>
    <tableColumn id="4" xr3:uid="{B1524A4A-A059-4873-807E-5A6B43646253}" uniqueName="4" name="Backend" queryTableFieldId="4" dataDxfId="43"/>
    <tableColumn id="5" xr3:uid="{4E80B334-093C-4DB8-9C9B-09E6CBD26599}" uniqueName="5" name="Score_Avg" queryTableFieldId="5" dataDxfId="42"/>
    <tableColumn id="6" xr3:uid="{B6C60DEC-3B99-4108-96DC-5BF14706CB06}" uniqueName="6" name="Score_Min" queryTableFieldId="6" dataDxfId="41"/>
    <tableColumn id="7" xr3:uid="{88EAAAA7-ABB1-4E47-BE40-6C394BAE3C68}" uniqueName="7" name="Score_Max" queryTableFieldId="7" dataDxfId="40"/>
    <tableColumn id="8" xr3:uid="{7C61D0C2-4015-4C9F-9EEE-38CD38A2E4B4}" uniqueName="8" name="Score_P95" queryTableFieldId="8" dataDxfId="39"/>
    <tableColumn id="9" xr3:uid="{92F5C446-06DC-4F19-9B8B-7758364CD23A}" uniqueName="9" name="Score_Stdev" queryTableFieldId="9" dataDxfId="38"/>
    <tableColumn id="10" xr3:uid="{0E46094B-DC59-4DE3-873D-EA453FE27EB2}" uniqueName="10" name="Throughput_Avg" queryTableFieldId="10" dataDxfId="37"/>
    <tableColumn id="11" xr3:uid="{8060A014-DFCD-4FDD-B94E-C886EA61C948}" uniqueName="11" name="Throughput_Min" queryTableFieldId="11" dataDxfId="36"/>
    <tableColumn id="12" xr3:uid="{66197BC0-BA86-4EE3-A0B1-89EE3023F064}" uniqueName="12" name="Throughput_Max" queryTableFieldId="12" dataDxfId="35"/>
    <tableColumn id="13" xr3:uid="{88F77E4A-692E-4DDD-BAF0-B6DC61CC4130}" uniqueName="13" name="Throughput_P95" queryTableFieldId="13" dataDxfId="34"/>
    <tableColumn id="14" xr3:uid="{B7E24831-41A2-4C7D-B1D1-38ED5FA43BF0}" uniqueName="14" name="Inferences_Avg" queryTableFieldId="14" dataDxfId="33"/>
    <tableColumn id="15" xr3:uid="{EAD6A9DC-3A83-4128-9623-ABE689BC701A}" uniqueName="15" name="Inferences_Min" queryTableFieldId="15" dataDxfId="32"/>
    <tableColumn id="16" xr3:uid="{CBC0AAB7-E2FD-40FF-B67E-0278840EE241}" uniqueName="16" name="Inferences_Max" queryTableFieldId="16" dataDxfId="31"/>
    <tableColumn id="17" xr3:uid="{47B1F208-B080-4112-8BB6-194AA0691D58}" uniqueName="17" name="SpeedometerDeltaPct_Avg" queryTableFieldId="17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A92558-F455-4272-834E-E2B15355152C}" name="speedometer_under_load_summary_text" displayName="speedometer_under_load_summary_text" ref="A1:Q14" tableType="queryTable" totalsRowShown="0">
  <autoFilter ref="A1:Q14" xr:uid="{6CA92558-F455-4272-834E-E2B15355152C}"/>
  <sortState xmlns:xlrd2="http://schemas.microsoft.com/office/spreadsheetml/2017/richdata2" ref="A2:Q14">
    <sortCondition descending="1" ref="Q1:Q14"/>
  </sortState>
  <tableColumns count="17">
    <tableColumn id="1" xr3:uid="{8D68C58C-6A51-41B9-B294-5B5BDC30992A}" uniqueName="1" name="Task" queryTableFieldId="1" dataDxfId="29"/>
    <tableColumn id="2" xr3:uid="{6539D051-6A70-414A-BDA2-1B004A267E71}" uniqueName="2" name="Scenario" queryTableFieldId="2" dataDxfId="28"/>
    <tableColumn id="3" xr3:uid="{6399A5FC-81F1-4E22-88C4-3725AEAD0FF8}" uniqueName="3" name="Framework" queryTableFieldId="3" dataDxfId="27"/>
    <tableColumn id="4" xr3:uid="{B8940E8C-5975-4FAA-A8D6-E2AD97208A0C}" uniqueName="4" name="Backend" queryTableFieldId="4" dataDxfId="26"/>
    <tableColumn id="7" xr3:uid="{A13156B3-9EEB-4E5B-A0F3-2DD11ACC7BB2}" uniqueName="7" name="Score_Avg" queryTableFieldId="7" dataDxfId="25"/>
    <tableColumn id="8" xr3:uid="{F351EAF8-BB70-44CB-8E00-3729E7680298}" uniqueName="8" name="Score_Min" queryTableFieldId="8" dataDxfId="24"/>
    <tableColumn id="9" xr3:uid="{D3C0AFC2-C0AF-4BED-B20E-1A23EBD883AA}" uniqueName="9" name="Score_Max" queryTableFieldId="9" dataDxfId="23"/>
    <tableColumn id="10" xr3:uid="{C0D19A5A-BA09-41E1-A55A-ED771D8BDC76}" uniqueName="10" name="Score_P95" queryTableFieldId="10" dataDxfId="22"/>
    <tableColumn id="11" xr3:uid="{1A4D8150-4CFB-4A8B-BC33-377670E203AA}" uniqueName="11" name="Score_Stdev" queryTableFieldId="11" dataDxfId="21"/>
    <tableColumn id="12" xr3:uid="{31662125-1FE0-4DDB-BD2E-CA199A5E83AD}" uniqueName="12" name="Throughput_Avg" queryTableFieldId="12" dataDxfId="20"/>
    <tableColumn id="13" xr3:uid="{D7CC7992-DF96-4407-BCDB-756A9355EE7D}" uniqueName="13" name="Throughput_Min" queryTableFieldId="13" dataDxfId="19"/>
    <tableColumn id="14" xr3:uid="{74A09AEC-1EFE-4CC9-BD41-A0C13B1FCAF0}" uniqueName="14" name="Throughput_Max" queryTableFieldId="14" dataDxfId="18"/>
    <tableColumn id="15" xr3:uid="{A556C83C-D67C-455F-8185-AB7D2E61A147}" uniqueName="15" name="Throughput_P95" queryTableFieldId="15" dataDxfId="17"/>
    <tableColumn id="16" xr3:uid="{EC182028-75C1-48E0-81E4-1F4B56485913}" uniqueName="16" name="Inferences_Avg" queryTableFieldId="16" dataDxfId="16"/>
    <tableColumn id="17" xr3:uid="{7AAEADBC-8400-4A50-8A21-7503D3EB195E}" uniqueName="17" name="Inferences_Min" queryTableFieldId="17" dataDxfId="15"/>
    <tableColumn id="18" xr3:uid="{88F8AE90-0A4D-41FE-B109-A0CE58172747}" uniqueName="18" name="Inferences_Max" queryTableFieldId="18" dataDxfId="14"/>
    <tableColumn id="19" xr3:uid="{F0191F84-1377-49E7-9FCE-8A9E3C00EE32}" uniqueName="19" name="SpeedometerDeltaPct_Avg" queryTableFieldId="19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4117BB-5B51-42C7-B4AB-428B3451277F}" name="Tabela3" displayName="Tabela3" ref="C23:J36" totalsRowShown="0" headerRowDxfId="0" dataDxfId="1" headerRowBorderDxfId="11" tableBorderDxfId="12" totalsRowBorderDxfId="10">
  <autoFilter ref="C23:J36" xr:uid="{3C4117BB-5B51-42C7-B4AB-428B3451277F}"/>
  <sortState xmlns:xlrd2="http://schemas.microsoft.com/office/spreadsheetml/2017/richdata2" ref="C24:J36">
    <sortCondition descending="1" ref="J23:J36"/>
  </sortState>
  <tableColumns count="8">
    <tableColumn id="1" xr3:uid="{A05F44E0-6A9C-451C-A606-2A33B49BCE53}" name="Framework" dataDxfId="9"/>
    <tableColumn id="2" xr3:uid="{CDE846EF-6458-4C5B-A3BF-21A8B101E5D4}" name="Backend" dataDxfId="8"/>
    <tableColumn id="3" xr3:uid="{94F2CC8F-2858-4153-814B-4BC7C7EE779B}" name="Score_Avg" dataDxfId="7"/>
    <tableColumn id="4" xr3:uid="{16AA63F5-D5F6-4625-976B-C43AA0340BC5}" name="Score_Min" dataDxfId="6"/>
    <tableColumn id="5" xr3:uid="{1B363276-84F9-4566-B6B4-07FDAC616435}" name="Score_Max" dataDxfId="5"/>
    <tableColumn id="6" xr3:uid="{C3B337F3-A9F1-4301-98D5-0FA5EE0C07E2}" name="Score_P95" dataDxfId="4"/>
    <tableColumn id="7" xr3:uid="{E3AB38BD-CE5C-4473-85E6-8B913810C967}" name="Score_Stdev" dataDxfId="3"/>
    <tableColumn id="8" xr3:uid="{C1A09460-3C43-4A8E-8251-88BD9CE8B446}" name="SpeedometerDeltaPct_Av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E996-09BB-4517-8261-4F5663801873}">
  <dimension ref="A1:Q42"/>
  <sheetViews>
    <sheetView topLeftCell="A10" workbookViewId="0">
      <selection activeCell="M37" sqref="M37"/>
    </sheetView>
  </sheetViews>
  <sheetFormatPr defaultRowHeight="15" x14ac:dyDescent="0.25"/>
  <cols>
    <col min="1" max="1" width="7.140625" bestFit="1" customWidth="1"/>
    <col min="2" max="2" width="11.140625" bestFit="1" customWidth="1"/>
    <col min="3" max="3" width="14.85546875" bestFit="1" customWidth="1"/>
    <col min="4" max="4" width="10.7109375" bestFit="1" customWidth="1"/>
    <col min="5" max="5" width="12.42578125" bestFit="1" customWidth="1"/>
    <col min="6" max="6" width="12.7109375" bestFit="1" customWidth="1"/>
    <col min="7" max="7" width="13" bestFit="1" customWidth="1"/>
    <col min="8" max="8" width="12.28515625" bestFit="1" customWidth="1"/>
    <col min="9" max="9" width="14.140625" bestFit="1" customWidth="1"/>
    <col min="10" max="10" width="26.7109375" customWidth="1"/>
    <col min="11" max="11" width="18.28515625" bestFit="1" customWidth="1"/>
    <col min="12" max="12" width="18.5703125" bestFit="1" customWidth="1"/>
    <col min="13" max="13" width="17.85546875" bestFit="1" customWidth="1"/>
    <col min="14" max="14" width="17.140625" bestFit="1" customWidth="1"/>
    <col min="15" max="15" width="17.42578125" bestFit="1" customWidth="1"/>
    <col min="16" max="16" width="17.7109375" bestFit="1" customWidth="1"/>
    <col min="17" max="17" width="27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19</v>
      </c>
      <c r="E2" s="4">
        <v>28.71</v>
      </c>
      <c r="F2" s="4">
        <v>28.2</v>
      </c>
      <c r="G2" s="4">
        <v>29.2</v>
      </c>
      <c r="H2" s="4">
        <v>29.1</v>
      </c>
      <c r="I2" s="4">
        <v>0.28999999999999998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19</v>
      </c>
      <c r="Q2" s="4">
        <v>0</v>
      </c>
    </row>
    <row r="3" spans="1:17" x14ac:dyDescent="0.25">
      <c r="A3" s="1" t="s">
        <v>17</v>
      </c>
      <c r="B3" s="1" t="s">
        <v>20</v>
      </c>
      <c r="C3" s="1" t="s">
        <v>29</v>
      </c>
      <c r="D3" s="1" t="s">
        <v>31</v>
      </c>
      <c r="E3" s="4">
        <v>28.23</v>
      </c>
      <c r="F3" s="4">
        <v>27.7</v>
      </c>
      <c r="G3" s="4">
        <v>28.5</v>
      </c>
      <c r="H3" s="4">
        <v>28.5</v>
      </c>
      <c r="I3" s="4">
        <v>0.24</v>
      </c>
      <c r="J3" s="4">
        <v>38.700000000000003</v>
      </c>
      <c r="K3" s="4">
        <v>37.14</v>
      </c>
      <c r="L3" s="4">
        <v>40.299999999999997</v>
      </c>
      <c r="M3" s="4">
        <v>40.26</v>
      </c>
      <c r="N3" s="4">
        <v>3208.3</v>
      </c>
      <c r="O3" s="4">
        <v>3090</v>
      </c>
      <c r="P3" s="4">
        <v>3338</v>
      </c>
      <c r="Q3" s="4">
        <v>-1.67</v>
      </c>
    </row>
    <row r="4" spans="1:17" x14ac:dyDescent="0.25">
      <c r="A4" s="1" t="s">
        <v>17</v>
      </c>
      <c r="B4" s="1" t="s">
        <v>20</v>
      </c>
      <c r="C4" s="1" t="s">
        <v>29</v>
      </c>
      <c r="D4" s="1" t="s">
        <v>30</v>
      </c>
      <c r="E4" s="4">
        <v>27.85</v>
      </c>
      <c r="F4" s="4">
        <v>27.3</v>
      </c>
      <c r="G4" s="4">
        <v>28.2</v>
      </c>
      <c r="H4" s="4">
        <v>28.2</v>
      </c>
      <c r="I4" s="4">
        <v>0.34</v>
      </c>
      <c r="J4" s="4">
        <v>33.159999999999997</v>
      </c>
      <c r="K4" s="4">
        <v>32.049999999999997</v>
      </c>
      <c r="L4" s="4">
        <v>34.450000000000003</v>
      </c>
      <c r="M4" s="4">
        <v>33.96</v>
      </c>
      <c r="N4" s="4">
        <v>2764.9</v>
      </c>
      <c r="O4" s="4">
        <v>2695</v>
      </c>
      <c r="P4" s="4">
        <v>2845</v>
      </c>
      <c r="Q4" s="4">
        <v>-3</v>
      </c>
    </row>
    <row r="5" spans="1:17" x14ac:dyDescent="0.25">
      <c r="A5" s="1" t="s">
        <v>17</v>
      </c>
      <c r="B5" s="1" t="s">
        <v>20</v>
      </c>
      <c r="C5" s="1" t="s">
        <v>27</v>
      </c>
      <c r="D5" s="1" t="s">
        <v>24</v>
      </c>
      <c r="E5" s="4">
        <v>27.6</v>
      </c>
      <c r="F5" s="4">
        <v>27.4</v>
      </c>
      <c r="G5" s="4">
        <v>27.9</v>
      </c>
      <c r="H5" s="4">
        <v>27.8</v>
      </c>
      <c r="I5" s="4">
        <v>0.16</v>
      </c>
      <c r="J5" s="4">
        <v>22.8</v>
      </c>
      <c r="K5" s="4">
        <v>22.1</v>
      </c>
      <c r="L5" s="4">
        <v>23.74</v>
      </c>
      <c r="M5" s="4">
        <v>23.6</v>
      </c>
      <c r="N5" s="4">
        <v>1903.7</v>
      </c>
      <c r="O5" s="4">
        <v>1841</v>
      </c>
      <c r="P5" s="4">
        <v>1972</v>
      </c>
      <c r="Q5" s="4">
        <v>-3.87</v>
      </c>
    </row>
    <row r="6" spans="1:17" x14ac:dyDescent="0.25">
      <c r="A6" s="1" t="s">
        <v>17</v>
      </c>
      <c r="B6" s="1" t="s">
        <v>20</v>
      </c>
      <c r="C6" s="1" t="s">
        <v>21</v>
      </c>
      <c r="D6" s="1" t="s">
        <v>23</v>
      </c>
      <c r="E6" s="4">
        <v>27.52</v>
      </c>
      <c r="F6" s="4">
        <v>27.2</v>
      </c>
      <c r="G6" s="4">
        <v>28.2</v>
      </c>
      <c r="H6" s="4">
        <v>28</v>
      </c>
      <c r="I6" s="4">
        <v>0.32</v>
      </c>
      <c r="J6" s="4">
        <v>10.87</v>
      </c>
      <c r="K6" s="4">
        <v>10.68</v>
      </c>
      <c r="L6" s="4">
        <v>11.04</v>
      </c>
      <c r="M6" s="4">
        <v>11.03</v>
      </c>
      <c r="N6" s="4">
        <v>944.4</v>
      </c>
      <c r="O6" s="4">
        <v>930</v>
      </c>
      <c r="P6" s="4">
        <v>962</v>
      </c>
      <c r="Q6" s="4">
        <v>-4.1399999999999997</v>
      </c>
    </row>
    <row r="7" spans="1:17" x14ac:dyDescent="0.25">
      <c r="A7" s="1" t="s">
        <v>17</v>
      </c>
      <c r="B7" s="1" t="s">
        <v>20</v>
      </c>
      <c r="C7" s="1" t="s">
        <v>25</v>
      </c>
      <c r="D7" s="1" t="s">
        <v>26</v>
      </c>
      <c r="E7" s="4">
        <v>27.52</v>
      </c>
      <c r="F7" s="4">
        <v>27.1</v>
      </c>
      <c r="G7" s="4">
        <v>27.9</v>
      </c>
      <c r="H7" s="4">
        <v>27.8</v>
      </c>
      <c r="I7" s="4">
        <v>0.23</v>
      </c>
      <c r="J7" s="4">
        <v>37.770000000000003</v>
      </c>
      <c r="K7" s="4">
        <v>37.04</v>
      </c>
      <c r="L7" s="4">
        <v>38.659999999999997</v>
      </c>
      <c r="M7" s="4">
        <v>38.35</v>
      </c>
      <c r="N7" s="4">
        <v>3175.5</v>
      </c>
      <c r="O7" s="4">
        <v>3105</v>
      </c>
      <c r="P7" s="4">
        <v>3258</v>
      </c>
      <c r="Q7" s="4">
        <v>-4.1399999999999997</v>
      </c>
    </row>
    <row r="8" spans="1:17" x14ac:dyDescent="0.25">
      <c r="A8" s="1" t="s">
        <v>17</v>
      </c>
      <c r="B8" s="1" t="s">
        <v>20</v>
      </c>
      <c r="C8" s="1" t="s">
        <v>21</v>
      </c>
      <c r="D8" s="1" t="s">
        <v>24</v>
      </c>
      <c r="E8" s="4">
        <v>27.04</v>
      </c>
      <c r="F8" s="4">
        <v>26.6</v>
      </c>
      <c r="G8" s="4">
        <v>27.4</v>
      </c>
      <c r="H8" s="4">
        <v>27.2</v>
      </c>
      <c r="I8" s="4">
        <v>0.23</v>
      </c>
      <c r="J8" s="4">
        <v>17.3</v>
      </c>
      <c r="K8" s="4">
        <v>17.02</v>
      </c>
      <c r="L8" s="4">
        <v>17.82</v>
      </c>
      <c r="M8" s="4">
        <v>17.59</v>
      </c>
      <c r="N8" s="4">
        <v>1522.8</v>
      </c>
      <c r="O8" s="4">
        <v>1503</v>
      </c>
      <c r="P8" s="4">
        <v>1564</v>
      </c>
      <c r="Q8" s="4">
        <v>-5.82</v>
      </c>
    </row>
    <row r="9" spans="1:17" x14ac:dyDescent="0.25">
      <c r="A9" s="1" t="s">
        <v>17</v>
      </c>
      <c r="B9" s="1" t="s">
        <v>20</v>
      </c>
      <c r="C9" s="1" t="s">
        <v>25</v>
      </c>
      <c r="D9" s="1" t="s">
        <v>24</v>
      </c>
      <c r="E9" s="4">
        <v>26.26</v>
      </c>
      <c r="F9" s="4">
        <v>25.8</v>
      </c>
      <c r="G9" s="4">
        <v>26.8</v>
      </c>
      <c r="H9" s="4">
        <v>26.7</v>
      </c>
      <c r="I9" s="4">
        <v>0.33</v>
      </c>
      <c r="J9" s="4">
        <v>16.809999999999999</v>
      </c>
      <c r="K9" s="4">
        <v>16.46</v>
      </c>
      <c r="L9" s="4">
        <v>17.27</v>
      </c>
      <c r="M9" s="4">
        <v>17.149999999999999</v>
      </c>
      <c r="N9" s="4">
        <v>1502.9</v>
      </c>
      <c r="O9" s="4">
        <v>1476</v>
      </c>
      <c r="P9" s="4">
        <v>1545</v>
      </c>
      <c r="Q9" s="4">
        <v>-8.5299999999999994</v>
      </c>
    </row>
    <row r="10" spans="1:17" x14ac:dyDescent="0.25">
      <c r="A10" s="1" t="s">
        <v>17</v>
      </c>
      <c r="B10" s="1" t="s">
        <v>20</v>
      </c>
      <c r="C10" s="1" t="s">
        <v>28</v>
      </c>
      <c r="D10" s="1" t="s">
        <v>24</v>
      </c>
      <c r="E10" s="4">
        <v>26.07</v>
      </c>
      <c r="F10" s="4">
        <v>25.6</v>
      </c>
      <c r="G10" s="4">
        <v>26.7</v>
      </c>
      <c r="H10" s="4">
        <v>26.5</v>
      </c>
      <c r="I10" s="4">
        <v>0.35</v>
      </c>
      <c r="J10" s="4">
        <v>5.13</v>
      </c>
      <c r="K10" s="4">
        <v>4.95</v>
      </c>
      <c r="L10" s="4">
        <v>5.35</v>
      </c>
      <c r="M10" s="4">
        <v>5.25</v>
      </c>
      <c r="N10" s="4">
        <v>476.3</v>
      </c>
      <c r="O10" s="4">
        <v>460</v>
      </c>
      <c r="P10" s="4">
        <v>496</v>
      </c>
      <c r="Q10" s="4">
        <v>-9.1999999999999993</v>
      </c>
    </row>
    <row r="11" spans="1:17" x14ac:dyDescent="0.25">
      <c r="A11" s="1" t="s">
        <v>17</v>
      </c>
      <c r="B11" s="1" t="s">
        <v>20</v>
      </c>
      <c r="C11" s="1" t="s">
        <v>21</v>
      </c>
      <c r="D11" s="1" t="s">
        <v>22</v>
      </c>
      <c r="E11" s="4">
        <v>25.8</v>
      </c>
      <c r="F11" s="4">
        <v>25.1</v>
      </c>
      <c r="G11" s="4">
        <v>26.1</v>
      </c>
      <c r="H11" s="4">
        <v>26.1</v>
      </c>
      <c r="I11" s="4">
        <v>0.34</v>
      </c>
      <c r="J11" s="4">
        <v>21.75</v>
      </c>
      <c r="K11" s="4">
        <v>21.3</v>
      </c>
      <c r="L11" s="4">
        <v>21.96</v>
      </c>
      <c r="M11" s="4">
        <v>21.96</v>
      </c>
      <c r="N11" s="4">
        <v>1965.5</v>
      </c>
      <c r="O11" s="4">
        <v>1945</v>
      </c>
      <c r="P11" s="4">
        <v>1992</v>
      </c>
      <c r="Q11" s="4">
        <v>-10.14</v>
      </c>
    </row>
    <row r="12" spans="1:17" x14ac:dyDescent="0.25">
      <c r="A12" s="1" t="s">
        <v>17</v>
      </c>
      <c r="B12" s="1" t="s">
        <v>20</v>
      </c>
      <c r="C12" s="1" t="s">
        <v>28</v>
      </c>
      <c r="D12" s="1" t="s">
        <v>22</v>
      </c>
      <c r="E12" s="4">
        <v>25.41</v>
      </c>
      <c r="F12" s="4">
        <v>25.1</v>
      </c>
      <c r="G12" s="4">
        <v>25.9</v>
      </c>
      <c r="H12" s="4">
        <v>25.7</v>
      </c>
      <c r="I12" s="4">
        <v>0.25</v>
      </c>
      <c r="J12" s="4">
        <v>5.08</v>
      </c>
      <c r="K12" s="4">
        <v>4.79</v>
      </c>
      <c r="L12" s="4">
        <v>5.24</v>
      </c>
      <c r="M12" s="4">
        <v>5.23</v>
      </c>
      <c r="N12" s="4">
        <v>500.4</v>
      </c>
      <c r="O12" s="4">
        <v>474</v>
      </c>
      <c r="P12" s="4">
        <v>518</v>
      </c>
      <c r="Q12" s="4">
        <v>-11.49</v>
      </c>
    </row>
    <row r="13" spans="1:17" x14ac:dyDescent="0.25">
      <c r="A13" s="1" t="s">
        <v>17</v>
      </c>
      <c r="B13" s="1" t="s">
        <v>20</v>
      </c>
      <c r="C13" s="1" t="s">
        <v>28</v>
      </c>
      <c r="D13" s="1" t="s">
        <v>26</v>
      </c>
      <c r="E13" s="4">
        <v>25.37</v>
      </c>
      <c r="F13" s="4">
        <v>24.6</v>
      </c>
      <c r="G13" s="4">
        <v>25.9</v>
      </c>
      <c r="H13" s="4">
        <v>25.8</v>
      </c>
      <c r="I13" s="4">
        <v>0.45</v>
      </c>
      <c r="J13" s="4">
        <v>5.17</v>
      </c>
      <c r="K13" s="4">
        <v>4.99</v>
      </c>
      <c r="L13" s="4">
        <v>5.29</v>
      </c>
      <c r="M13" s="4">
        <v>5.24</v>
      </c>
      <c r="N13" s="4">
        <v>508.5</v>
      </c>
      <c r="O13" s="4">
        <v>496</v>
      </c>
      <c r="P13" s="4">
        <v>517</v>
      </c>
      <c r="Q13" s="4">
        <v>-11.63</v>
      </c>
    </row>
    <row r="14" spans="1:17" x14ac:dyDescent="0.25">
      <c r="A14" s="1" t="s">
        <v>17</v>
      </c>
      <c r="B14" s="1" t="s">
        <v>20</v>
      </c>
      <c r="C14" s="1" t="s">
        <v>27</v>
      </c>
      <c r="D14" s="1" t="s">
        <v>22</v>
      </c>
      <c r="E14" s="4">
        <v>24.91</v>
      </c>
      <c r="F14" s="4">
        <v>24.4</v>
      </c>
      <c r="G14" s="4">
        <v>25.5</v>
      </c>
      <c r="H14" s="4">
        <v>25.3</v>
      </c>
      <c r="I14" s="4">
        <v>0.35</v>
      </c>
      <c r="J14" s="4">
        <v>17.46</v>
      </c>
      <c r="K14" s="4">
        <v>17.3</v>
      </c>
      <c r="L14" s="4">
        <v>17.579999999999998</v>
      </c>
      <c r="M14" s="4">
        <v>17.559999999999999</v>
      </c>
      <c r="N14" s="4">
        <v>1695.7</v>
      </c>
      <c r="O14" s="4">
        <v>1682</v>
      </c>
      <c r="P14" s="4">
        <v>1715</v>
      </c>
      <c r="Q14" s="4">
        <v>-13.24</v>
      </c>
    </row>
    <row r="15" spans="1:17" x14ac:dyDescent="0.25">
      <c r="A15" s="1" t="s">
        <v>17</v>
      </c>
      <c r="B15" s="1" t="s">
        <v>20</v>
      </c>
      <c r="C15" s="1" t="s">
        <v>25</v>
      </c>
      <c r="D15" s="1" t="s">
        <v>22</v>
      </c>
      <c r="E15" s="4">
        <v>24.13</v>
      </c>
      <c r="F15" s="4">
        <v>23.4</v>
      </c>
      <c r="G15" s="4">
        <v>24.5</v>
      </c>
      <c r="H15" s="4">
        <v>24.5</v>
      </c>
      <c r="I15" s="4">
        <v>0.36</v>
      </c>
      <c r="J15" s="4">
        <v>17.75</v>
      </c>
      <c r="K15" s="4">
        <v>15.36</v>
      </c>
      <c r="L15" s="4">
        <v>18.329999999999998</v>
      </c>
      <c r="M15" s="4">
        <v>18.29</v>
      </c>
      <c r="N15" s="4">
        <v>1753.7</v>
      </c>
      <c r="O15" s="4">
        <v>1659</v>
      </c>
      <c r="P15" s="4">
        <v>1786</v>
      </c>
      <c r="Q15" s="4">
        <v>-15.95</v>
      </c>
    </row>
    <row r="16" spans="1:17" x14ac:dyDescent="0.25">
      <c r="A16" s="1" t="s">
        <v>17</v>
      </c>
      <c r="B16" s="1" t="s">
        <v>20</v>
      </c>
      <c r="C16" s="1" t="s">
        <v>25</v>
      </c>
      <c r="D16" s="1" t="s">
        <v>23</v>
      </c>
      <c r="E16" s="4">
        <v>23.91</v>
      </c>
      <c r="F16" s="4">
        <v>23.2</v>
      </c>
      <c r="G16" s="4">
        <v>24.8</v>
      </c>
      <c r="H16" s="4">
        <v>24.6</v>
      </c>
      <c r="I16" s="4">
        <v>0.55000000000000004</v>
      </c>
      <c r="J16" s="4">
        <v>15.65</v>
      </c>
      <c r="K16" s="4">
        <v>15.52</v>
      </c>
      <c r="L16" s="4">
        <v>15.74</v>
      </c>
      <c r="M16" s="4">
        <v>15.73</v>
      </c>
      <c r="N16" s="4">
        <v>1646.3</v>
      </c>
      <c r="O16" s="4">
        <v>1636</v>
      </c>
      <c r="P16" s="4">
        <v>1658</v>
      </c>
      <c r="Q16" s="4">
        <v>-16.72</v>
      </c>
    </row>
    <row r="27" spans="3:10" x14ac:dyDescent="0.25"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3" t="s">
        <v>16</v>
      </c>
    </row>
    <row r="28" spans="3:10" x14ac:dyDescent="0.25">
      <c r="C28" s="5" t="s">
        <v>32</v>
      </c>
      <c r="D28" s="5" t="s">
        <v>32</v>
      </c>
      <c r="E28" s="6">
        <v>28.71</v>
      </c>
      <c r="F28" s="6">
        <v>28.2</v>
      </c>
      <c r="G28" s="6">
        <v>29.2</v>
      </c>
      <c r="H28" s="6">
        <v>29.1</v>
      </c>
      <c r="I28" s="6">
        <v>0.28999999999999998</v>
      </c>
      <c r="J28" s="9">
        <v>0</v>
      </c>
    </row>
    <row r="29" spans="3:10" x14ac:dyDescent="0.25">
      <c r="C29" s="7" t="s">
        <v>29</v>
      </c>
      <c r="D29" s="7" t="s">
        <v>31</v>
      </c>
      <c r="E29" s="8">
        <v>28.23</v>
      </c>
      <c r="F29" s="8">
        <v>27.7</v>
      </c>
      <c r="G29" s="8">
        <v>28.5</v>
      </c>
      <c r="H29" s="8">
        <v>28.5</v>
      </c>
      <c r="I29" s="8">
        <v>0.24</v>
      </c>
      <c r="J29" s="10">
        <v>-1.67</v>
      </c>
    </row>
    <row r="30" spans="3:10" x14ac:dyDescent="0.25">
      <c r="C30" s="5" t="s">
        <v>29</v>
      </c>
      <c r="D30" s="5" t="s">
        <v>30</v>
      </c>
      <c r="E30" s="6">
        <v>27.85</v>
      </c>
      <c r="F30" s="6">
        <v>27.3</v>
      </c>
      <c r="G30" s="6">
        <v>28.2</v>
      </c>
      <c r="H30" s="6">
        <v>28.2</v>
      </c>
      <c r="I30" s="6">
        <v>0.34</v>
      </c>
      <c r="J30" s="9">
        <v>-3</v>
      </c>
    </row>
    <row r="31" spans="3:10" x14ac:dyDescent="0.25">
      <c r="C31" s="7" t="s">
        <v>27</v>
      </c>
      <c r="D31" s="7" t="s">
        <v>24</v>
      </c>
      <c r="E31" s="8">
        <v>27.6</v>
      </c>
      <c r="F31" s="8">
        <v>27.4</v>
      </c>
      <c r="G31" s="8">
        <v>27.9</v>
      </c>
      <c r="H31" s="8">
        <v>27.8</v>
      </c>
      <c r="I31" s="8">
        <v>0.16</v>
      </c>
      <c r="J31" s="10">
        <v>-3.87</v>
      </c>
    </row>
    <row r="32" spans="3:10" x14ac:dyDescent="0.25">
      <c r="C32" s="5" t="s">
        <v>21</v>
      </c>
      <c r="D32" s="5" t="s">
        <v>23</v>
      </c>
      <c r="E32" s="6">
        <v>27.52</v>
      </c>
      <c r="F32" s="6">
        <v>27.2</v>
      </c>
      <c r="G32" s="6">
        <v>28.2</v>
      </c>
      <c r="H32" s="6">
        <v>28</v>
      </c>
      <c r="I32" s="6">
        <v>0.32</v>
      </c>
      <c r="J32" s="9">
        <v>-4.1399999999999997</v>
      </c>
    </row>
    <row r="33" spans="3:10" x14ac:dyDescent="0.25">
      <c r="C33" s="7" t="s">
        <v>25</v>
      </c>
      <c r="D33" s="7" t="s">
        <v>26</v>
      </c>
      <c r="E33" s="8">
        <v>27.52</v>
      </c>
      <c r="F33" s="8">
        <v>27.1</v>
      </c>
      <c r="G33" s="8">
        <v>27.9</v>
      </c>
      <c r="H33" s="8">
        <v>27.8</v>
      </c>
      <c r="I33" s="8">
        <v>0.23</v>
      </c>
      <c r="J33" s="10">
        <v>-4.1399999999999997</v>
      </c>
    </row>
    <row r="34" spans="3:10" x14ac:dyDescent="0.25">
      <c r="C34" s="5" t="s">
        <v>21</v>
      </c>
      <c r="D34" s="5" t="s">
        <v>24</v>
      </c>
      <c r="E34" s="6">
        <v>27.04</v>
      </c>
      <c r="F34" s="6">
        <v>26.6</v>
      </c>
      <c r="G34" s="6">
        <v>27.4</v>
      </c>
      <c r="H34" s="6">
        <v>27.2</v>
      </c>
      <c r="I34" s="6">
        <v>0.23</v>
      </c>
      <c r="J34" s="9">
        <v>-5.82</v>
      </c>
    </row>
    <row r="35" spans="3:10" x14ac:dyDescent="0.25">
      <c r="C35" s="7" t="s">
        <v>25</v>
      </c>
      <c r="D35" s="7" t="s">
        <v>24</v>
      </c>
      <c r="E35" s="8">
        <v>26.26</v>
      </c>
      <c r="F35" s="8">
        <v>25.8</v>
      </c>
      <c r="G35" s="8">
        <v>26.8</v>
      </c>
      <c r="H35" s="8">
        <v>26.7</v>
      </c>
      <c r="I35" s="8">
        <v>0.33</v>
      </c>
      <c r="J35" s="10">
        <v>-8.5299999999999994</v>
      </c>
    </row>
    <row r="36" spans="3:10" x14ac:dyDescent="0.25">
      <c r="C36" s="5" t="s">
        <v>28</v>
      </c>
      <c r="D36" s="5" t="s">
        <v>24</v>
      </c>
      <c r="E36" s="6">
        <v>26.07</v>
      </c>
      <c r="F36" s="6">
        <v>25.6</v>
      </c>
      <c r="G36" s="6">
        <v>26.7</v>
      </c>
      <c r="H36" s="6">
        <v>26.5</v>
      </c>
      <c r="I36" s="6">
        <v>0.35</v>
      </c>
      <c r="J36" s="9">
        <v>-9.1999999999999993</v>
      </c>
    </row>
    <row r="37" spans="3:10" x14ac:dyDescent="0.25">
      <c r="C37" s="7" t="s">
        <v>21</v>
      </c>
      <c r="D37" s="7" t="s">
        <v>22</v>
      </c>
      <c r="E37" s="8">
        <v>25.8</v>
      </c>
      <c r="F37" s="8">
        <v>25.1</v>
      </c>
      <c r="G37" s="8">
        <v>26.1</v>
      </c>
      <c r="H37" s="8">
        <v>26.1</v>
      </c>
      <c r="I37" s="8">
        <v>0.34</v>
      </c>
      <c r="J37" s="10">
        <v>-10.14</v>
      </c>
    </row>
    <row r="38" spans="3:10" x14ac:dyDescent="0.25">
      <c r="C38" s="5" t="s">
        <v>28</v>
      </c>
      <c r="D38" s="5" t="s">
        <v>22</v>
      </c>
      <c r="E38" s="6">
        <v>25.41</v>
      </c>
      <c r="F38" s="6">
        <v>25.1</v>
      </c>
      <c r="G38" s="6">
        <v>25.9</v>
      </c>
      <c r="H38" s="6">
        <v>25.7</v>
      </c>
      <c r="I38" s="6">
        <v>0.25</v>
      </c>
      <c r="J38" s="9">
        <v>-11.49</v>
      </c>
    </row>
    <row r="39" spans="3:10" x14ac:dyDescent="0.25">
      <c r="C39" s="7" t="s">
        <v>28</v>
      </c>
      <c r="D39" s="7" t="s">
        <v>26</v>
      </c>
      <c r="E39" s="8">
        <v>25.37</v>
      </c>
      <c r="F39" s="8">
        <v>24.6</v>
      </c>
      <c r="G39" s="8">
        <v>25.9</v>
      </c>
      <c r="H39" s="8">
        <v>25.8</v>
      </c>
      <c r="I39" s="8">
        <v>0.45</v>
      </c>
      <c r="J39" s="10">
        <v>-11.63</v>
      </c>
    </row>
    <row r="40" spans="3:10" x14ac:dyDescent="0.25">
      <c r="C40" s="5" t="s">
        <v>27</v>
      </c>
      <c r="D40" s="5" t="s">
        <v>22</v>
      </c>
      <c r="E40" s="6">
        <v>24.91</v>
      </c>
      <c r="F40" s="6">
        <v>24.4</v>
      </c>
      <c r="G40" s="6">
        <v>25.5</v>
      </c>
      <c r="H40" s="6">
        <v>25.3</v>
      </c>
      <c r="I40" s="6">
        <v>0.35</v>
      </c>
      <c r="J40" s="9">
        <v>-13.24</v>
      </c>
    </row>
    <row r="41" spans="3:10" x14ac:dyDescent="0.25">
      <c r="C41" s="7" t="s">
        <v>25</v>
      </c>
      <c r="D41" s="7" t="s">
        <v>22</v>
      </c>
      <c r="E41" s="8">
        <v>24.13</v>
      </c>
      <c r="F41" s="8">
        <v>23.4</v>
      </c>
      <c r="G41" s="8">
        <v>24.5</v>
      </c>
      <c r="H41" s="8">
        <v>24.5</v>
      </c>
      <c r="I41" s="8">
        <v>0.36</v>
      </c>
      <c r="J41" s="10">
        <v>-15.95</v>
      </c>
    </row>
    <row r="42" spans="3:10" x14ac:dyDescent="0.25">
      <c r="C42" s="5" t="s">
        <v>25</v>
      </c>
      <c r="D42" s="5" t="s">
        <v>23</v>
      </c>
      <c r="E42" s="6">
        <v>23.91</v>
      </c>
      <c r="F42" s="6">
        <v>23.2</v>
      </c>
      <c r="G42" s="6">
        <v>24.8</v>
      </c>
      <c r="H42" s="6">
        <v>24.6</v>
      </c>
      <c r="I42" s="6">
        <v>0.55000000000000004</v>
      </c>
      <c r="J42" s="9">
        <v>-16.72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EBF4-8A08-446B-ABBF-CD6E3876E8A6}">
  <dimension ref="A1:Q36"/>
  <sheetViews>
    <sheetView tabSelected="1" topLeftCell="A7" workbookViewId="0">
      <selection activeCell="J19" sqref="J19"/>
    </sheetView>
  </sheetViews>
  <sheetFormatPr defaultRowHeight="15" x14ac:dyDescent="0.25"/>
  <cols>
    <col min="1" max="1" width="7.140625" bestFit="1" customWidth="1"/>
    <col min="2" max="2" width="11.140625" bestFit="1" customWidth="1"/>
    <col min="3" max="3" width="14.85546875" bestFit="1" customWidth="1"/>
    <col min="4" max="4" width="10.7109375" bestFit="1" customWidth="1"/>
    <col min="5" max="5" width="12.42578125" bestFit="1" customWidth="1"/>
    <col min="6" max="6" width="12.7109375" bestFit="1" customWidth="1"/>
    <col min="7" max="7" width="13" bestFit="1" customWidth="1"/>
    <col min="8" max="8" width="12.28515625" bestFit="1" customWidth="1"/>
    <col min="9" max="9" width="14.140625" bestFit="1" customWidth="1"/>
    <col min="10" max="10" width="27" customWidth="1"/>
    <col min="11" max="11" width="18.28515625" bestFit="1" customWidth="1"/>
    <col min="12" max="12" width="18.5703125" bestFit="1" customWidth="1"/>
    <col min="13" max="13" width="17.85546875" bestFit="1" customWidth="1"/>
    <col min="14" max="14" width="17.140625" bestFit="1" customWidth="1"/>
    <col min="15" max="15" width="17.42578125" bestFit="1" customWidth="1"/>
    <col min="16" max="16" width="17.7109375" bestFit="1" customWidth="1"/>
    <col min="17" max="17" width="27.5703125" bestFit="1" customWidth="1"/>
    <col min="18" max="18" width="17.7109375" bestFit="1" customWidth="1"/>
    <col min="19" max="19" width="27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33</v>
      </c>
      <c r="B2" s="1" t="s">
        <v>18</v>
      </c>
      <c r="C2" s="1" t="s">
        <v>19</v>
      </c>
      <c r="D2" s="1" t="s">
        <v>19</v>
      </c>
      <c r="E2" s="4">
        <v>28.73</v>
      </c>
      <c r="F2" s="4">
        <v>28.1</v>
      </c>
      <c r="G2" s="4">
        <v>29.1</v>
      </c>
      <c r="H2" s="4">
        <v>29</v>
      </c>
      <c r="I2" s="4">
        <v>0.28000000000000003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19</v>
      </c>
      <c r="Q2" s="4">
        <v>0</v>
      </c>
    </row>
    <row r="3" spans="1:17" x14ac:dyDescent="0.25">
      <c r="A3" s="1" t="s">
        <v>33</v>
      </c>
      <c r="B3" s="1" t="s">
        <v>20</v>
      </c>
      <c r="C3" s="1" t="s">
        <v>21</v>
      </c>
      <c r="D3" s="1" t="s">
        <v>23</v>
      </c>
      <c r="E3" s="4">
        <v>26.8</v>
      </c>
      <c r="F3" s="4">
        <v>25.9</v>
      </c>
      <c r="G3" s="4">
        <v>27.7</v>
      </c>
      <c r="H3" s="4">
        <v>27.2</v>
      </c>
      <c r="I3" s="4">
        <v>0.49</v>
      </c>
      <c r="J3" s="4">
        <v>7.87</v>
      </c>
      <c r="K3" s="4">
        <v>7.14</v>
      </c>
      <c r="L3" s="4">
        <v>8.4600000000000009</v>
      </c>
      <c r="M3" s="4">
        <v>8.25</v>
      </c>
      <c r="N3" s="4">
        <v>714.7</v>
      </c>
      <c r="O3" s="4">
        <v>643</v>
      </c>
      <c r="P3" s="4">
        <v>766</v>
      </c>
      <c r="Q3" s="4">
        <v>-6.72</v>
      </c>
    </row>
    <row r="4" spans="1:17" x14ac:dyDescent="0.25">
      <c r="A4" s="1" t="s">
        <v>33</v>
      </c>
      <c r="B4" s="1" t="s">
        <v>20</v>
      </c>
      <c r="C4" s="1" t="s">
        <v>29</v>
      </c>
      <c r="D4" s="1" t="s">
        <v>31</v>
      </c>
      <c r="E4" s="4">
        <v>26.59</v>
      </c>
      <c r="F4" s="4">
        <v>26.2</v>
      </c>
      <c r="G4" s="4">
        <v>26.7</v>
      </c>
      <c r="H4" s="4">
        <v>26.7</v>
      </c>
      <c r="I4" s="4">
        <v>0.16</v>
      </c>
      <c r="J4" s="4">
        <v>12.1</v>
      </c>
      <c r="K4" s="4">
        <v>12.01</v>
      </c>
      <c r="L4" s="4">
        <v>12.26</v>
      </c>
      <c r="M4" s="4">
        <v>12.15</v>
      </c>
      <c r="N4" s="4">
        <v>1030.8</v>
      </c>
      <c r="O4" s="4">
        <v>1022</v>
      </c>
      <c r="P4" s="4">
        <v>1047</v>
      </c>
      <c r="Q4" s="4">
        <v>-7.45</v>
      </c>
    </row>
    <row r="5" spans="1:17" x14ac:dyDescent="0.25">
      <c r="A5" s="1" t="s">
        <v>33</v>
      </c>
      <c r="B5" s="1" t="s">
        <v>20</v>
      </c>
      <c r="C5" s="1" t="s">
        <v>29</v>
      </c>
      <c r="D5" s="1" t="s">
        <v>30</v>
      </c>
      <c r="E5" s="4">
        <v>26.46</v>
      </c>
      <c r="F5" s="4">
        <v>26</v>
      </c>
      <c r="G5" s="4">
        <v>26.8</v>
      </c>
      <c r="H5" s="4">
        <v>26.8</v>
      </c>
      <c r="I5" s="4">
        <v>0.28000000000000003</v>
      </c>
      <c r="J5" s="4">
        <v>12.08</v>
      </c>
      <c r="K5" s="4">
        <v>11.89</v>
      </c>
      <c r="L5" s="4">
        <v>12.21</v>
      </c>
      <c r="M5" s="4">
        <v>12.2</v>
      </c>
      <c r="N5" s="4">
        <v>1031.7</v>
      </c>
      <c r="O5" s="4">
        <v>1025</v>
      </c>
      <c r="P5" s="4">
        <v>1040</v>
      </c>
      <c r="Q5" s="4">
        <v>-7.9</v>
      </c>
    </row>
    <row r="6" spans="1:17" x14ac:dyDescent="0.25">
      <c r="A6" s="1" t="s">
        <v>33</v>
      </c>
      <c r="B6" s="1" t="s">
        <v>20</v>
      </c>
      <c r="C6" s="1" t="s">
        <v>21</v>
      </c>
      <c r="D6" s="1" t="s">
        <v>24</v>
      </c>
      <c r="E6" s="4">
        <v>26.36</v>
      </c>
      <c r="F6" s="4">
        <v>25.8</v>
      </c>
      <c r="G6" s="4">
        <v>27</v>
      </c>
      <c r="H6" s="4">
        <v>26.8</v>
      </c>
      <c r="I6" s="4">
        <v>0.4</v>
      </c>
      <c r="J6" s="4">
        <v>11.85</v>
      </c>
      <c r="K6" s="4">
        <v>11.62</v>
      </c>
      <c r="L6" s="4">
        <v>12.2</v>
      </c>
      <c r="M6" s="4">
        <v>12.04</v>
      </c>
      <c r="N6" s="4">
        <v>1133.5</v>
      </c>
      <c r="O6" s="4">
        <v>1118</v>
      </c>
      <c r="P6" s="4">
        <v>1164</v>
      </c>
      <c r="Q6" s="4">
        <v>-8.25</v>
      </c>
    </row>
    <row r="7" spans="1:17" x14ac:dyDescent="0.25">
      <c r="A7" s="1" t="s">
        <v>33</v>
      </c>
      <c r="B7" s="1" t="s">
        <v>20</v>
      </c>
      <c r="C7" s="1" t="s">
        <v>25</v>
      </c>
      <c r="D7" s="1" t="s">
        <v>24</v>
      </c>
      <c r="E7" s="4">
        <v>24.82</v>
      </c>
      <c r="F7" s="4">
        <v>24</v>
      </c>
      <c r="G7" s="4">
        <v>25.3</v>
      </c>
      <c r="H7" s="4">
        <v>25.2</v>
      </c>
      <c r="I7" s="4">
        <v>0.44</v>
      </c>
      <c r="J7" s="4">
        <v>11.62</v>
      </c>
      <c r="K7" s="4">
        <v>11.39</v>
      </c>
      <c r="L7" s="4">
        <v>11.76</v>
      </c>
      <c r="M7" s="4">
        <v>11.75</v>
      </c>
      <c r="N7" s="4">
        <v>1145.4000000000001</v>
      </c>
      <c r="O7" s="4">
        <v>1121</v>
      </c>
      <c r="P7" s="4">
        <v>1171</v>
      </c>
      <c r="Q7" s="4">
        <v>-13.61</v>
      </c>
    </row>
    <row r="8" spans="1:17" x14ac:dyDescent="0.25">
      <c r="A8" s="1" t="s">
        <v>33</v>
      </c>
      <c r="B8" s="1" t="s">
        <v>20</v>
      </c>
      <c r="C8" s="1" t="s">
        <v>28</v>
      </c>
      <c r="D8" s="1" t="s">
        <v>24</v>
      </c>
      <c r="E8" s="4">
        <v>24.65</v>
      </c>
      <c r="F8" s="4">
        <v>24.3</v>
      </c>
      <c r="G8" s="4">
        <v>25.1</v>
      </c>
      <c r="H8" s="4">
        <v>25.1</v>
      </c>
      <c r="I8" s="4">
        <v>0.3</v>
      </c>
      <c r="J8" s="4">
        <v>11.5</v>
      </c>
      <c r="K8" s="4">
        <v>11.11</v>
      </c>
      <c r="L8" s="4">
        <v>11.84</v>
      </c>
      <c r="M8" s="4">
        <v>11.71</v>
      </c>
      <c r="N8" s="4">
        <v>1140</v>
      </c>
      <c r="O8" s="4">
        <v>1109</v>
      </c>
      <c r="P8" s="4">
        <v>1172</v>
      </c>
      <c r="Q8" s="4">
        <v>-14.2</v>
      </c>
    </row>
    <row r="9" spans="1:17" x14ac:dyDescent="0.25">
      <c r="A9" s="1" t="s">
        <v>33</v>
      </c>
      <c r="B9" s="1" t="s">
        <v>20</v>
      </c>
      <c r="C9" s="1" t="s">
        <v>28</v>
      </c>
      <c r="D9" s="1" t="s">
        <v>26</v>
      </c>
      <c r="E9" s="4">
        <v>24.02</v>
      </c>
      <c r="F9" s="4">
        <v>23.6</v>
      </c>
      <c r="G9" s="4">
        <v>24.5</v>
      </c>
      <c r="H9" s="4">
        <v>24.3</v>
      </c>
      <c r="I9" s="4">
        <v>0.28000000000000003</v>
      </c>
      <c r="J9" s="4">
        <v>2.4</v>
      </c>
      <c r="K9" s="4">
        <v>2.31</v>
      </c>
      <c r="L9" s="4">
        <v>2.4500000000000002</v>
      </c>
      <c r="M9" s="4">
        <v>2.42</v>
      </c>
      <c r="N9" s="4">
        <v>224.2</v>
      </c>
      <c r="O9" s="4">
        <v>216</v>
      </c>
      <c r="P9" s="4">
        <v>230</v>
      </c>
      <c r="Q9" s="4">
        <v>-16.39</v>
      </c>
    </row>
    <row r="10" spans="1:17" x14ac:dyDescent="0.25">
      <c r="A10" s="1" t="s">
        <v>33</v>
      </c>
      <c r="B10" s="1" t="s">
        <v>20</v>
      </c>
      <c r="C10" s="1" t="s">
        <v>28</v>
      </c>
      <c r="D10" s="1" t="s">
        <v>22</v>
      </c>
      <c r="E10" s="4">
        <v>22.51</v>
      </c>
      <c r="F10" s="4">
        <v>18.399999999999999</v>
      </c>
      <c r="G10" s="4">
        <v>23.4</v>
      </c>
      <c r="H10" s="4">
        <v>23.3</v>
      </c>
      <c r="I10" s="4">
        <v>1.47</v>
      </c>
      <c r="J10" s="4">
        <v>15.63</v>
      </c>
      <c r="K10" s="4">
        <v>12.05</v>
      </c>
      <c r="L10" s="4">
        <v>16.21</v>
      </c>
      <c r="M10" s="4">
        <v>16.149999999999999</v>
      </c>
      <c r="N10" s="4">
        <v>1656.3</v>
      </c>
      <c r="O10" s="4">
        <v>1592</v>
      </c>
      <c r="P10" s="4">
        <v>1692</v>
      </c>
      <c r="Q10" s="4">
        <v>-21.65</v>
      </c>
    </row>
    <row r="11" spans="1:17" x14ac:dyDescent="0.25">
      <c r="A11" s="1" t="s">
        <v>33</v>
      </c>
      <c r="B11" s="1" t="s">
        <v>20</v>
      </c>
      <c r="C11" s="1" t="s">
        <v>25</v>
      </c>
      <c r="D11" s="1" t="s">
        <v>26</v>
      </c>
      <c r="E11" s="4">
        <v>20.5</v>
      </c>
      <c r="F11" s="4">
        <v>9.18</v>
      </c>
      <c r="G11" s="4">
        <v>22.7</v>
      </c>
      <c r="H11" s="4">
        <v>22.5</v>
      </c>
      <c r="I11" s="4">
        <v>4.1500000000000004</v>
      </c>
      <c r="J11" s="4">
        <v>1.59</v>
      </c>
      <c r="K11" s="4">
        <v>0.76</v>
      </c>
      <c r="L11" s="4">
        <v>1.79</v>
      </c>
      <c r="M11" s="4">
        <v>1.78</v>
      </c>
      <c r="N11" s="4">
        <v>168.6</v>
      </c>
      <c r="O11" s="4">
        <v>147</v>
      </c>
      <c r="P11" s="4">
        <v>177</v>
      </c>
      <c r="Q11" s="4">
        <v>-28.65</v>
      </c>
    </row>
    <row r="12" spans="1:17" x14ac:dyDescent="0.25">
      <c r="A12" s="1" t="s">
        <v>33</v>
      </c>
      <c r="B12" s="1" t="s">
        <v>20</v>
      </c>
      <c r="C12" s="1" t="s">
        <v>25</v>
      </c>
      <c r="D12" s="1" t="s">
        <v>22</v>
      </c>
      <c r="E12" s="4">
        <v>16.91</v>
      </c>
      <c r="F12" s="4">
        <v>5.94</v>
      </c>
      <c r="G12" s="4">
        <v>20.100000000000001</v>
      </c>
      <c r="H12" s="4">
        <v>19.100000000000001</v>
      </c>
      <c r="I12" s="4">
        <v>3.99</v>
      </c>
      <c r="J12" s="4">
        <v>7.22</v>
      </c>
      <c r="K12" s="4">
        <v>2.81</v>
      </c>
      <c r="L12" s="4">
        <v>7.81</v>
      </c>
      <c r="M12" s="4">
        <v>7.75</v>
      </c>
      <c r="N12" s="4">
        <v>1580.8</v>
      </c>
      <c r="O12" s="4">
        <v>1553</v>
      </c>
      <c r="P12" s="4">
        <v>1674</v>
      </c>
      <c r="Q12" s="4">
        <v>-41.14</v>
      </c>
    </row>
    <row r="13" spans="1:17" x14ac:dyDescent="0.25">
      <c r="A13" s="1" t="s">
        <v>33</v>
      </c>
      <c r="B13" s="1" t="s">
        <v>20</v>
      </c>
      <c r="C13" s="1" t="s">
        <v>27</v>
      </c>
      <c r="D13" s="1" t="s">
        <v>22</v>
      </c>
      <c r="E13" s="4">
        <v>7.93</v>
      </c>
      <c r="F13" s="4">
        <v>7.49</v>
      </c>
      <c r="G13" s="4">
        <v>8.3699999999999992</v>
      </c>
      <c r="H13" s="4">
        <v>8.35</v>
      </c>
      <c r="I13" s="4">
        <v>0.33</v>
      </c>
      <c r="J13" s="4">
        <v>4.7300000000000004</v>
      </c>
      <c r="K13" s="4">
        <v>4.6500000000000004</v>
      </c>
      <c r="L13" s="4">
        <v>4.7699999999999996</v>
      </c>
      <c r="M13" s="4">
        <v>4.75</v>
      </c>
      <c r="N13" s="4">
        <v>1679.6</v>
      </c>
      <c r="O13" s="4">
        <v>1664</v>
      </c>
      <c r="P13" s="4">
        <v>1697</v>
      </c>
      <c r="Q13" s="4">
        <v>-72.400000000000006</v>
      </c>
    </row>
    <row r="14" spans="1:17" x14ac:dyDescent="0.25">
      <c r="A14" s="1" t="s">
        <v>33</v>
      </c>
      <c r="B14" s="1" t="s">
        <v>20</v>
      </c>
      <c r="C14" s="1" t="s">
        <v>21</v>
      </c>
      <c r="D14" s="1" t="s">
        <v>22</v>
      </c>
      <c r="E14" s="4">
        <v>7.23</v>
      </c>
      <c r="F14" s="4">
        <v>6.83</v>
      </c>
      <c r="G14" s="4">
        <v>7.55</v>
      </c>
      <c r="H14" s="4">
        <v>7.54</v>
      </c>
      <c r="I14" s="4">
        <v>0.23</v>
      </c>
      <c r="J14" s="4">
        <v>4.28</v>
      </c>
      <c r="K14" s="4">
        <v>4.2</v>
      </c>
      <c r="L14" s="4">
        <v>4.3099999999999996</v>
      </c>
      <c r="M14" s="4">
        <v>4.3</v>
      </c>
      <c r="N14" s="4">
        <v>1667.6</v>
      </c>
      <c r="O14" s="4">
        <v>1644</v>
      </c>
      <c r="P14" s="4">
        <v>1682</v>
      </c>
      <c r="Q14" s="4">
        <v>-74.83</v>
      </c>
    </row>
    <row r="23" spans="3:12" x14ac:dyDescent="0.25">
      <c r="C23" s="11" t="s">
        <v>2</v>
      </c>
      <c r="D23" s="11" t="s">
        <v>3</v>
      </c>
      <c r="E23" s="11" t="s">
        <v>4</v>
      </c>
      <c r="F23" s="11" t="s">
        <v>5</v>
      </c>
      <c r="G23" s="11" t="s">
        <v>6</v>
      </c>
      <c r="H23" s="11" t="s">
        <v>7</v>
      </c>
      <c r="I23" s="11" t="s">
        <v>8</v>
      </c>
      <c r="J23" s="11" t="s">
        <v>16</v>
      </c>
    </row>
    <row r="24" spans="3:12" x14ac:dyDescent="0.25">
      <c r="C24" s="5" t="s">
        <v>32</v>
      </c>
      <c r="D24" s="5" t="s">
        <v>32</v>
      </c>
      <c r="E24" s="6">
        <v>28.73</v>
      </c>
      <c r="F24" s="6">
        <v>28.1</v>
      </c>
      <c r="G24" s="6">
        <v>29.1</v>
      </c>
      <c r="H24" s="6">
        <v>29</v>
      </c>
      <c r="I24" s="6">
        <v>0.28000000000000003</v>
      </c>
      <c r="J24" s="6">
        <v>0</v>
      </c>
    </row>
    <row r="25" spans="3:12" x14ac:dyDescent="0.25">
      <c r="C25" s="5" t="s">
        <v>29</v>
      </c>
      <c r="D25" s="5" t="s">
        <v>31</v>
      </c>
      <c r="E25" s="6">
        <v>26.59</v>
      </c>
      <c r="F25" s="6">
        <v>26.2</v>
      </c>
      <c r="G25" s="6">
        <v>26.7</v>
      </c>
      <c r="H25" s="6">
        <v>26.7</v>
      </c>
      <c r="I25" s="6">
        <v>0.16</v>
      </c>
      <c r="J25" s="6">
        <v>-7.45</v>
      </c>
    </row>
    <row r="26" spans="3:12" x14ac:dyDescent="0.25">
      <c r="C26" s="7" t="s">
        <v>29</v>
      </c>
      <c r="D26" s="7" t="s">
        <v>30</v>
      </c>
      <c r="E26" s="8">
        <v>26.46</v>
      </c>
      <c r="F26" s="8">
        <v>26</v>
      </c>
      <c r="G26" s="8">
        <v>26.8</v>
      </c>
      <c r="H26" s="8">
        <v>26.8</v>
      </c>
      <c r="I26" s="8">
        <v>0.28000000000000003</v>
      </c>
      <c r="J26" s="8">
        <v>-7.9</v>
      </c>
    </row>
    <row r="27" spans="3:12" x14ac:dyDescent="0.25">
      <c r="C27" s="5" t="s">
        <v>21</v>
      </c>
      <c r="D27" s="5" t="s">
        <v>24</v>
      </c>
      <c r="E27" s="6">
        <v>26.36</v>
      </c>
      <c r="F27" s="6">
        <v>25.8</v>
      </c>
      <c r="G27" s="6">
        <v>27</v>
      </c>
      <c r="H27" s="6">
        <v>26.8</v>
      </c>
      <c r="I27" s="6">
        <v>0.4</v>
      </c>
      <c r="J27" s="6">
        <v>-8.25</v>
      </c>
    </row>
    <row r="28" spans="3:12" x14ac:dyDescent="0.25">
      <c r="C28" s="7" t="s">
        <v>21</v>
      </c>
      <c r="D28" s="7" t="s">
        <v>23</v>
      </c>
      <c r="E28" s="8">
        <v>25.99</v>
      </c>
      <c r="F28" s="8">
        <v>25.3</v>
      </c>
      <c r="G28" s="8">
        <v>26.6</v>
      </c>
      <c r="H28" s="8">
        <v>26.5</v>
      </c>
      <c r="I28" s="8">
        <v>0.49</v>
      </c>
      <c r="J28" s="8">
        <v>-9.5399999999999991</v>
      </c>
      <c r="L28" s="4">
        <f>E24-Tabela3[[#This Row],[Score_Avg]]</f>
        <v>2.740000000000002</v>
      </c>
    </row>
    <row r="29" spans="3:12" x14ac:dyDescent="0.25">
      <c r="C29" s="7" t="s">
        <v>25</v>
      </c>
      <c r="D29" s="7" t="s">
        <v>24</v>
      </c>
      <c r="E29" s="8">
        <v>24.82</v>
      </c>
      <c r="F29" s="8">
        <v>24</v>
      </c>
      <c r="G29" s="8">
        <v>25.3</v>
      </c>
      <c r="H29" s="8">
        <v>25.2</v>
      </c>
      <c r="I29" s="8">
        <v>0.44</v>
      </c>
      <c r="J29" s="8">
        <v>-13.61</v>
      </c>
      <c r="L29">
        <f>L28/E24</f>
        <v>9.5370692655760592E-2</v>
      </c>
    </row>
    <row r="30" spans="3:12" x14ac:dyDescent="0.25">
      <c r="C30" s="5" t="s">
        <v>28</v>
      </c>
      <c r="D30" s="5" t="s">
        <v>24</v>
      </c>
      <c r="E30" s="6">
        <v>24.65</v>
      </c>
      <c r="F30" s="6">
        <v>24.3</v>
      </c>
      <c r="G30" s="6">
        <v>25.1</v>
      </c>
      <c r="H30" s="6">
        <v>25.1</v>
      </c>
      <c r="I30" s="6">
        <v>0.3</v>
      </c>
      <c r="J30" s="6">
        <v>-14.2</v>
      </c>
      <c r="L30">
        <f>L29*100</f>
        <v>9.5370692655760596</v>
      </c>
    </row>
    <row r="31" spans="3:12" x14ac:dyDescent="0.25">
      <c r="C31" s="7" t="s">
        <v>28</v>
      </c>
      <c r="D31" s="7" t="s">
        <v>26</v>
      </c>
      <c r="E31" s="8">
        <v>24.02</v>
      </c>
      <c r="F31" s="8">
        <v>23.6</v>
      </c>
      <c r="G31" s="8">
        <v>24.5</v>
      </c>
      <c r="H31" s="8">
        <v>24.3</v>
      </c>
      <c r="I31" s="8">
        <v>0.28000000000000003</v>
      </c>
      <c r="J31" s="8">
        <v>-16.39</v>
      </c>
    </row>
    <row r="32" spans="3:12" x14ac:dyDescent="0.25">
      <c r="C32" s="5" t="s">
        <v>28</v>
      </c>
      <c r="D32" s="5" t="s">
        <v>22</v>
      </c>
      <c r="E32" s="6">
        <v>22.51</v>
      </c>
      <c r="F32" s="6">
        <v>18.399999999999999</v>
      </c>
      <c r="G32" s="6">
        <v>23.4</v>
      </c>
      <c r="H32" s="6">
        <v>23.3</v>
      </c>
      <c r="I32" s="6">
        <v>1.47</v>
      </c>
      <c r="J32" s="6">
        <v>-21.65</v>
      </c>
    </row>
    <row r="33" spans="3:10" x14ac:dyDescent="0.25">
      <c r="C33" s="7" t="s">
        <v>25</v>
      </c>
      <c r="D33" s="7" t="s">
        <v>26</v>
      </c>
      <c r="E33" s="8">
        <v>20.5</v>
      </c>
      <c r="F33" s="8">
        <v>9.18</v>
      </c>
      <c r="G33" s="8">
        <v>22.7</v>
      </c>
      <c r="H33" s="8">
        <v>22.5</v>
      </c>
      <c r="I33" s="8">
        <v>4.1500000000000004</v>
      </c>
      <c r="J33" s="8">
        <v>-28.65</v>
      </c>
    </row>
    <row r="34" spans="3:10" x14ac:dyDescent="0.25">
      <c r="C34" s="5" t="s">
        <v>25</v>
      </c>
      <c r="D34" s="5" t="s">
        <v>22</v>
      </c>
      <c r="E34" s="6">
        <v>16.91</v>
      </c>
      <c r="F34" s="6">
        <v>5.94</v>
      </c>
      <c r="G34" s="6">
        <v>20.100000000000001</v>
      </c>
      <c r="H34" s="6">
        <v>19.100000000000001</v>
      </c>
      <c r="I34" s="6">
        <v>3.99</v>
      </c>
      <c r="J34" s="6">
        <v>-41.14</v>
      </c>
    </row>
    <row r="35" spans="3:10" x14ac:dyDescent="0.25">
      <c r="C35" s="7" t="s">
        <v>27</v>
      </c>
      <c r="D35" s="7" t="s">
        <v>22</v>
      </c>
      <c r="E35" s="8">
        <v>7.93</v>
      </c>
      <c r="F35" s="8">
        <v>7.49</v>
      </c>
      <c r="G35" s="8">
        <v>8.3699999999999992</v>
      </c>
      <c r="H35" s="8">
        <v>8.35</v>
      </c>
      <c r="I35" s="8">
        <v>0.33</v>
      </c>
      <c r="J35" s="8">
        <v>-72.400000000000006</v>
      </c>
    </row>
    <row r="36" spans="3:10" x14ac:dyDescent="0.25">
      <c r="C36" s="12" t="s">
        <v>21</v>
      </c>
      <c r="D36" s="12" t="s">
        <v>22</v>
      </c>
      <c r="E36" s="13">
        <v>7.23</v>
      </c>
      <c r="F36" s="13">
        <v>6.83</v>
      </c>
      <c r="G36" s="13">
        <v>7.55</v>
      </c>
      <c r="H36" s="13">
        <v>7.54</v>
      </c>
      <c r="I36" s="13">
        <v>0.23</v>
      </c>
      <c r="J36" s="13">
        <v>-74.83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6CB5FA-0826-4341-B9D5-2666B8A175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speedometer_under_load_summary_</vt:lpstr>
      <vt:lpstr>speedometer_under_load_summ (2)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Małolepszy</dc:creator>
  <cp:lastModifiedBy>Andrzej 103777</cp:lastModifiedBy>
  <dcterms:created xsi:type="dcterms:W3CDTF">2015-06-05T18:19:34Z</dcterms:created>
  <dcterms:modified xsi:type="dcterms:W3CDTF">2026-05-16T15:38:41Z</dcterms:modified>
</cp:coreProperties>
</file>